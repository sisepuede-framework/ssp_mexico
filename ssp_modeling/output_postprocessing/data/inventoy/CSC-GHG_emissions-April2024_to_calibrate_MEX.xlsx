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exico/ssp_modeling/output_postprocessing/data/inventoy/"/>
    </mc:Choice>
  </mc:AlternateContent>
  <xr:revisionPtr revIDLastSave="0" documentId="13_ncr:1_{4BAD7974-3D65-5748-A627-F8346C371AFE}" xr6:coauthVersionLast="47" xr6:coauthVersionMax="47" xr10:uidLastSave="{00000000-0000-0000-0000-000000000000}"/>
  <bookViews>
    <workbookView xWindow="-51200" yWindow="-7140" windowWidth="25600" windowHeight="28180" xr2:uid="{CC44A071-883A-7C42-98A6-D49DF2CA7D5F}"/>
  </bookViews>
  <sheets>
    <sheet name="CSC-GHG_emissions-April2024_to_" sheetId="1" r:id="rId1"/>
  </sheets>
  <definedNames>
    <definedName name="_xlnm._FilterDatabase" localSheetId="0" hidden="1">'CSC-GHG_emissions-April2024_to_'!$A$1:$AH$39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1" l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G65" i="1"/>
  <c r="L65" i="1"/>
  <c r="K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</calcChain>
</file>

<file path=xl/sharedStrings.xml><?xml version="1.0" encoding="utf-8"?>
<sst xmlns="http://schemas.openxmlformats.org/spreadsheetml/2006/main" count="524" uniqueCount="44">
  <si>
    <t>Code</t>
  </si>
  <si>
    <t>Country</t>
  </si>
  <si>
    <t>EDGAR Country Code</t>
  </si>
  <si>
    <t>Income group</t>
  </si>
  <si>
    <t>Lending category</t>
  </si>
  <si>
    <t>Region</t>
  </si>
  <si>
    <t>CSC Sector</t>
  </si>
  <si>
    <t>CSC Subsector</t>
  </si>
  <si>
    <t>Gas</t>
  </si>
  <si>
    <t>Units</t>
  </si>
  <si>
    <t>MEX</t>
  </si>
  <si>
    <t>Mexico</t>
  </si>
  <si>
    <t>Upper middle income</t>
  </si>
  <si>
    <t>IBRD</t>
  </si>
  <si>
    <t>Latin America &amp; Caribbean</t>
  </si>
  <si>
    <t>Agriculture</t>
  </si>
  <si>
    <t>AG - Livestock</t>
  </si>
  <si>
    <t>CH4</t>
  </si>
  <si>
    <t>MtCO2e</t>
  </si>
  <si>
    <t>N2O</t>
  </si>
  <si>
    <t>AG - Crops</t>
  </si>
  <si>
    <t>CO2</t>
  </si>
  <si>
    <t>Energy</t>
  </si>
  <si>
    <t>EN - Building</t>
  </si>
  <si>
    <t>EN - Electricity/Heat</t>
  </si>
  <si>
    <t>EN - Fugitive Emissions</t>
  </si>
  <si>
    <t>EN - Manufacturing/Construction</t>
  </si>
  <si>
    <t>EN - Transportation</t>
  </si>
  <si>
    <t>Industrial Processes</t>
  </si>
  <si>
    <t>IN - Industrial Processes</t>
  </si>
  <si>
    <t>HFC</t>
  </si>
  <si>
    <t>PFC</t>
  </si>
  <si>
    <t>SF6</t>
  </si>
  <si>
    <t>Waste</t>
  </si>
  <si>
    <t>Waste - Solid Waste</t>
  </si>
  <si>
    <t>Waste - Wastewater Treatment</t>
  </si>
  <si>
    <t>Land Use, Land Use Change, and Forestry</t>
  </si>
  <si>
    <t>LULUCF - Forest Land Sequestration</t>
  </si>
  <si>
    <t>LULUCF - Forest Land</t>
  </si>
  <si>
    <t>LULUCF - Forest Land Removals</t>
  </si>
  <si>
    <t>LULUCF - HWP</t>
  </si>
  <si>
    <t>LULUCF - Deforestation</t>
  </si>
  <si>
    <t>LULUCF - Organic Soil</t>
  </si>
  <si>
    <t>LULUCF - Other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</si>
</sst>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944D-AE6E-8748-9B95-0A538A141ADC}">
  <dimension ref="A1:AH78"/>
  <sheetViews>
    <sheetView tabSelected="1" topLeftCell="G1" workbookViewId="0">
      <pane xSplit="4" ySplit="1" topLeftCell="W23" activePane="bottomRight" state="frozen"/>
      <selection pane="topRight" activeCell="K1" sqref="K1"/>
      <selection pane="bottomLeft" activeCell="A2" sqref="A2"/>
      <selection pane="bottomRight" activeCell="G41" sqref="G41:AH78"/>
    </sheetView>
  </sheetViews>
  <sheetFormatPr baseColWidth="10" defaultRowHeight="16" x14ac:dyDescent="0.2"/>
  <cols>
    <col min="1" max="6" width="0" hidden="1" customWidth="1"/>
    <col min="7" max="7" width="21.33203125" customWidth="1"/>
    <col min="8" max="8" width="30.332031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2000</v>
      </c>
      <c r="L1">
        <v>2001</v>
      </c>
      <c r="M1">
        <v>2002</v>
      </c>
      <c r="N1">
        <v>2003</v>
      </c>
      <c r="O1">
        <v>2004</v>
      </c>
      <c r="P1">
        <v>2005</v>
      </c>
      <c r="Q1">
        <v>2006</v>
      </c>
      <c r="R1">
        <v>2007</v>
      </c>
      <c r="S1">
        <v>2008</v>
      </c>
      <c r="T1">
        <v>2009</v>
      </c>
      <c r="U1">
        <v>2010</v>
      </c>
      <c r="V1">
        <v>2011</v>
      </c>
      <c r="W1">
        <v>2012</v>
      </c>
      <c r="X1">
        <v>2013</v>
      </c>
      <c r="Y1">
        <v>2014</v>
      </c>
      <c r="Z1">
        <v>2015</v>
      </c>
      <c r="AA1">
        <v>2016</v>
      </c>
      <c r="AB1">
        <v>2017</v>
      </c>
      <c r="AC1">
        <v>2018</v>
      </c>
      <c r="AD1">
        <v>2019</v>
      </c>
      <c r="AE1">
        <v>2020</v>
      </c>
      <c r="AF1">
        <v>2021</v>
      </c>
      <c r="AG1">
        <v>2022</v>
      </c>
      <c r="AH1" s="1">
        <v>2023</v>
      </c>
    </row>
    <row r="2" spans="1:34" x14ac:dyDescent="0.2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H2" t="s">
        <v>20</v>
      </c>
      <c r="I2" t="s">
        <v>17</v>
      </c>
      <c r="J2" t="s">
        <v>18</v>
      </c>
      <c r="K2">
        <v>1.1156992999999999</v>
      </c>
      <c r="L2">
        <v>1.0829859399999999</v>
      </c>
      <c r="M2">
        <v>1.027327989</v>
      </c>
      <c r="N2">
        <v>1.104435928</v>
      </c>
      <c r="O2">
        <v>1.123350149</v>
      </c>
      <c r="P2">
        <v>1.0806276029999999</v>
      </c>
      <c r="Q2">
        <v>1.1700977180000001</v>
      </c>
      <c r="R2">
        <v>1.2084754870000001</v>
      </c>
      <c r="S2">
        <v>1.162772508</v>
      </c>
      <c r="T2">
        <v>1.0874963449999999</v>
      </c>
      <c r="U2">
        <v>1.1083611600000001</v>
      </c>
      <c r="V2">
        <v>0.97527182300000004</v>
      </c>
      <c r="W2">
        <v>1.0605101880000001</v>
      </c>
      <c r="X2">
        <v>1.1390925510000001</v>
      </c>
      <c r="Y2">
        <v>1.1791069329999999</v>
      </c>
      <c r="Z2">
        <v>1.1435856419999999</v>
      </c>
      <c r="AA2">
        <v>1.206758561</v>
      </c>
      <c r="AB2">
        <v>1.192713645</v>
      </c>
      <c r="AC2">
        <v>1.177333231</v>
      </c>
      <c r="AD2">
        <v>1.164827217</v>
      </c>
      <c r="AE2">
        <v>1.163562778</v>
      </c>
      <c r="AF2">
        <v>1.145587178</v>
      </c>
      <c r="AG2">
        <v>1.1447988490000001</v>
      </c>
      <c r="AH2" s="1">
        <v>0.75519857099999999</v>
      </c>
    </row>
    <row r="3" spans="1:34" x14ac:dyDescent="0.2">
      <c r="A3" t="s">
        <v>10</v>
      </c>
      <c r="B3" t="s">
        <v>11</v>
      </c>
      <c r="C3" t="s">
        <v>10</v>
      </c>
      <c r="D3" t="s">
        <v>12</v>
      </c>
      <c r="E3" t="s">
        <v>13</v>
      </c>
      <c r="F3" t="s">
        <v>14</v>
      </c>
      <c r="G3" t="s">
        <v>15</v>
      </c>
      <c r="H3" t="s">
        <v>20</v>
      </c>
      <c r="I3" t="s">
        <v>21</v>
      </c>
      <c r="J3" t="s">
        <v>18</v>
      </c>
      <c r="K3">
        <v>3.2874284010000001</v>
      </c>
      <c r="L3">
        <v>3.461856971</v>
      </c>
      <c r="M3">
        <v>2.6432474589999999</v>
      </c>
      <c r="N3">
        <v>2.9180379240000001</v>
      </c>
      <c r="O3">
        <v>2.9710474439999999</v>
      </c>
      <c r="P3">
        <v>2.751780777</v>
      </c>
      <c r="Q3">
        <v>2.8074093699999998</v>
      </c>
      <c r="R3">
        <v>2.9097093200000002</v>
      </c>
      <c r="S3">
        <v>2.7512569760000001</v>
      </c>
      <c r="T3">
        <v>2.887028403</v>
      </c>
      <c r="U3">
        <v>2.9123807589999999</v>
      </c>
      <c r="V3">
        <v>2.8956188539999999</v>
      </c>
      <c r="W3">
        <v>3.0443807559999998</v>
      </c>
      <c r="X3">
        <v>3.588618861</v>
      </c>
      <c r="Y3">
        <v>3.5285902739999999</v>
      </c>
      <c r="Z3">
        <v>3.1466807879999998</v>
      </c>
      <c r="AA3">
        <v>3.0398759769999999</v>
      </c>
      <c r="AB3">
        <v>2.7618378689999998</v>
      </c>
      <c r="AC3">
        <v>2.6264855090000001</v>
      </c>
      <c r="AD3">
        <v>2.5561902829999998</v>
      </c>
      <c r="AE3">
        <v>2.7674426169999999</v>
      </c>
      <c r="AF3">
        <v>2.8501626020000002</v>
      </c>
      <c r="AG3">
        <v>2.938055903</v>
      </c>
      <c r="AH3" s="1">
        <v>1.6537809999999999</v>
      </c>
    </row>
    <row r="4" spans="1:34" x14ac:dyDescent="0.2">
      <c r="A4" t="s">
        <v>10</v>
      </c>
      <c r="B4" t="s">
        <v>11</v>
      </c>
      <c r="C4" t="s">
        <v>10</v>
      </c>
      <c r="D4" t="s">
        <v>12</v>
      </c>
      <c r="E4" t="s">
        <v>13</v>
      </c>
      <c r="F4" t="s">
        <v>14</v>
      </c>
      <c r="G4" t="s">
        <v>22</v>
      </c>
      <c r="H4" t="s">
        <v>23</v>
      </c>
      <c r="I4" t="s">
        <v>17</v>
      </c>
      <c r="J4" t="s">
        <v>18</v>
      </c>
      <c r="K4">
        <v>2.4636097750000001</v>
      </c>
      <c r="L4">
        <v>2.3123154110000002</v>
      </c>
      <c r="M4">
        <v>2.3051987289999998</v>
      </c>
      <c r="N4">
        <v>2.3099692959999998</v>
      </c>
      <c r="O4">
        <v>2.3085779739999999</v>
      </c>
      <c r="P4">
        <v>2.305447043</v>
      </c>
      <c r="Q4">
        <v>2.2916509610000002</v>
      </c>
      <c r="R4">
        <v>2.2790901689999998</v>
      </c>
      <c r="S4">
        <v>2.2695557430000002</v>
      </c>
      <c r="T4">
        <v>2.255970295</v>
      </c>
      <c r="U4">
        <v>2.245912229</v>
      </c>
      <c r="V4">
        <v>2.2353426719999998</v>
      </c>
      <c r="W4">
        <v>2.2256063190000002</v>
      </c>
      <c r="X4">
        <v>2.211603626</v>
      </c>
      <c r="Y4">
        <v>2.2012045389999999</v>
      </c>
      <c r="Z4">
        <v>2.1909751499999999</v>
      </c>
      <c r="AA4">
        <v>2.1781630609999998</v>
      </c>
      <c r="AB4">
        <v>2.1671773600000002</v>
      </c>
      <c r="AC4">
        <v>2.155455028</v>
      </c>
      <c r="AD4">
        <v>2.1418639960000001</v>
      </c>
      <c r="AE4">
        <v>1.8841872770000001</v>
      </c>
      <c r="AF4">
        <v>1.8444510350000001</v>
      </c>
      <c r="AG4">
        <v>1.856098547</v>
      </c>
      <c r="AH4" s="1">
        <v>0.35682214000000001</v>
      </c>
    </row>
    <row r="5" spans="1:34" x14ac:dyDescent="0.2">
      <c r="A5" t="s">
        <v>10</v>
      </c>
      <c r="B5" t="s">
        <v>11</v>
      </c>
      <c r="C5" t="s">
        <v>10</v>
      </c>
      <c r="D5" t="s">
        <v>12</v>
      </c>
      <c r="E5" t="s">
        <v>13</v>
      </c>
      <c r="F5" t="s">
        <v>14</v>
      </c>
      <c r="G5" t="s">
        <v>22</v>
      </c>
      <c r="H5" t="s">
        <v>23</v>
      </c>
      <c r="I5" t="s">
        <v>21</v>
      </c>
      <c r="J5" t="s">
        <v>18</v>
      </c>
      <c r="K5">
        <v>32.808626719999999</v>
      </c>
      <c r="L5">
        <v>32.268378890000001</v>
      </c>
      <c r="M5">
        <v>32.229409130000001</v>
      </c>
      <c r="N5">
        <v>31.50439132</v>
      </c>
      <c r="O5">
        <v>32.385298130000002</v>
      </c>
      <c r="P5">
        <v>31.85394681</v>
      </c>
      <c r="Q5">
        <v>32.70144586</v>
      </c>
      <c r="R5">
        <v>32.327325799999997</v>
      </c>
      <c r="S5">
        <v>32.605838439999999</v>
      </c>
      <c r="T5">
        <v>31.76067218</v>
      </c>
      <c r="U5">
        <v>32.327038190000003</v>
      </c>
      <c r="V5">
        <v>32.288806919999999</v>
      </c>
      <c r="W5">
        <v>33.131557729999997</v>
      </c>
      <c r="X5">
        <v>31.6853011</v>
      </c>
      <c r="Y5">
        <v>31.877326400000001</v>
      </c>
      <c r="Z5">
        <v>32.285136950000002</v>
      </c>
      <c r="AA5">
        <v>31.619512570000001</v>
      </c>
      <c r="AB5">
        <v>31.56248119</v>
      </c>
      <c r="AC5">
        <v>31.268368710000001</v>
      </c>
      <c r="AD5">
        <v>29.756256830000002</v>
      </c>
      <c r="AE5">
        <v>25.105524160000002</v>
      </c>
      <c r="AF5">
        <v>28.014739809999998</v>
      </c>
      <c r="AG5">
        <v>33.64016419</v>
      </c>
      <c r="AH5" s="1">
        <v>34.987387560000002</v>
      </c>
    </row>
    <row r="6" spans="1:34" x14ac:dyDescent="0.2">
      <c r="A6" t="s">
        <v>10</v>
      </c>
      <c r="B6" t="s">
        <v>11</v>
      </c>
      <c r="C6" t="s">
        <v>10</v>
      </c>
      <c r="D6" t="s">
        <v>12</v>
      </c>
      <c r="E6" t="s">
        <v>13</v>
      </c>
      <c r="F6" t="s">
        <v>14</v>
      </c>
      <c r="G6" t="s">
        <v>22</v>
      </c>
      <c r="H6" t="s">
        <v>23</v>
      </c>
      <c r="I6" t="s">
        <v>19</v>
      </c>
      <c r="J6" t="s">
        <v>18</v>
      </c>
      <c r="K6">
        <v>0.93617720000000004</v>
      </c>
      <c r="L6">
        <v>0.90025455499999996</v>
      </c>
      <c r="M6">
        <v>0.88197662399999999</v>
      </c>
      <c r="N6">
        <v>0.92397576999999997</v>
      </c>
      <c r="O6">
        <v>0.96096996599999995</v>
      </c>
      <c r="P6">
        <v>0.99948272199999999</v>
      </c>
      <c r="Q6">
        <v>1.0542542079999999</v>
      </c>
      <c r="R6">
        <v>1.0912340330000001</v>
      </c>
      <c r="S6">
        <v>1.1179740979999999</v>
      </c>
      <c r="T6">
        <v>1.136079751</v>
      </c>
      <c r="U6">
        <v>1.1275782539999999</v>
      </c>
      <c r="V6">
        <v>1.1565199610000001</v>
      </c>
      <c r="W6">
        <v>1.213358363</v>
      </c>
      <c r="X6">
        <v>1.15564698</v>
      </c>
      <c r="Y6">
        <v>1.1544305880000001</v>
      </c>
      <c r="Z6">
        <v>1.227306494</v>
      </c>
      <c r="AA6">
        <v>1.244504453</v>
      </c>
      <c r="AB6">
        <v>1.2628521049999999</v>
      </c>
      <c r="AC6">
        <v>1.295378412</v>
      </c>
      <c r="AD6">
        <v>1.2226030109999999</v>
      </c>
      <c r="AE6">
        <v>0.81400474599999995</v>
      </c>
      <c r="AF6">
        <v>0.87956290100000001</v>
      </c>
      <c r="AG6">
        <v>1.020252312</v>
      </c>
      <c r="AH6" s="1">
        <v>0.36548295000000003</v>
      </c>
    </row>
    <row r="7" spans="1:34" x14ac:dyDescent="0.2">
      <c r="A7" t="s">
        <v>10</v>
      </c>
      <c r="B7" t="s">
        <v>11</v>
      </c>
      <c r="C7" t="s">
        <v>10</v>
      </c>
      <c r="D7" t="s">
        <v>12</v>
      </c>
      <c r="E7" t="s">
        <v>13</v>
      </c>
      <c r="F7" t="s">
        <v>14</v>
      </c>
      <c r="G7" t="s">
        <v>22</v>
      </c>
      <c r="H7" t="s">
        <v>24</v>
      </c>
      <c r="I7" t="s">
        <v>17</v>
      </c>
      <c r="J7" t="s">
        <v>18</v>
      </c>
      <c r="K7">
        <v>8.3627135000000005E-2</v>
      </c>
      <c r="L7">
        <v>9.8955369000000001E-2</v>
      </c>
      <c r="M7">
        <v>0.101981505</v>
      </c>
      <c r="N7">
        <v>0.112681404</v>
      </c>
      <c r="O7">
        <v>0.114079158</v>
      </c>
      <c r="P7">
        <v>0.114597115</v>
      </c>
      <c r="Q7">
        <v>0.11568717000000001</v>
      </c>
      <c r="R7">
        <v>0.12596132299999999</v>
      </c>
      <c r="S7">
        <v>0.120964843</v>
      </c>
      <c r="T7">
        <v>0.117173549</v>
      </c>
      <c r="U7">
        <v>0.12625841099999999</v>
      </c>
      <c r="V7">
        <v>0.124278004</v>
      </c>
      <c r="W7">
        <v>0.143472399</v>
      </c>
      <c r="X7">
        <v>0.14437536200000001</v>
      </c>
      <c r="Y7">
        <v>0.15724637</v>
      </c>
      <c r="Z7">
        <v>0.15951510699999999</v>
      </c>
      <c r="AA7">
        <v>0.16608856299999999</v>
      </c>
      <c r="AB7">
        <v>0.17929931800000001</v>
      </c>
      <c r="AC7">
        <v>0.181166628</v>
      </c>
      <c r="AD7">
        <v>0.16351268899999999</v>
      </c>
      <c r="AE7">
        <v>0.156665638</v>
      </c>
      <c r="AF7">
        <v>0.15282957</v>
      </c>
      <c r="AG7">
        <v>0.15611276900000001</v>
      </c>
      <c r="AH7" s="1">
        <v>0.119451663</v>
      </c>
    </row>
    <row r="8" spans="1:34" x14ac:dyDescent="0.2">
      <c r="A8" t="s">
        <v>10</v>
      </c>
      <c r="B8" t="s">
        <v>11</v>
      </c>
      <c r="C8" t="s">
        <v>10</v>
      </c>
      <c r="D8" t="s">
        <v>12</v>
      </c>
      <c r="E8" t="s">
        <v>13</v>
      </c>
      <c r="F8" t="s">
        <v>14</v>
      </c>
      <c r="G8" t="s">
        <v>22</v>
      </c>
      <c r="H8" t="s">
        <v>24</v>
      </c>
      <c r="I8" t="s">
        <v>21</v>
      </c>
      <c r="J8" t="s">
        <v>18</v>
      </c>
      <c r="K8">
        <v>121.6371278</v>
      </c>
      <c r="L8">
        <v>124.9980436</v>
      </c>
      <c r="M8">
        <v>126.19224939999999</v>
      </c>
      <c r="N8">
        <v>132.7691399</v>
      </c>
      <c r="O8">
        <v>127.8172988</v>
      </c>
      <c r="P8">
        <v>134.84995509999999</v>
      </c>
      <c r="Q8">
        <v>133.3341369</v>
      </c>
      <c r="R8">
        <v>137.68995319999999</v>
      </c>
      <c r="S8">
        <v>130.13404629999999</v>
      </c>
      <c r="T8">
        <v>136.99659130000001</v>
      </c>
      <c r="U8">
        <v>138.39785359999999</v>
      </c>
      <c r="V8">
        <v>147.2301367</v>
      </c>
      <c r="W8">
        <v>153.94154180000001</v>
      </c>
      <c r="X8">
        <v>144.67356380000001</v>
      </c>
      <c r="Y8">
        <v>139.92327829999999</v>
      </c>
      <c r="Z8">
        <v>143.05078119999999</v>
      </c>
      <c r="AA8">
        <v>149.4616978</v>
      </c>
      <c r="AB8">
        <v>153.71958599999999</v>
      </c>
      <c r="AC8">
        <v>142.3862441</v>
      </c>
      <c r="AD8">
        <v>139.7619813</v>
      </c>
      <c r="AE8">
        <v>125.37340210000001</v>
      </c>
      <c r="AF8">
        <v>119.2194059</v>
      </c>
      <c r="AG8">
        <v>129.460961</v>
      </c>
      <c r="AH8" s="1">
        <v>158.25285694199997</v>
      </c>
    </row>
    <row r="9" spans="1:34" x14ac:dyDescent="0.2">
      <c r="A9" t="s">
        <v>10</v>
      </c>
      <c r="B9" t="s">
        <v>11</v>
      </c>
      <c r="C9" t="s">
        <v>10</v>
      </c>
      <c r="D9" t="s">
        <v>12</v>
      </c>
      <c r="E9" t="s">
        <v>13</v>
      </c>
      <c r="F9" t="s">
        <v>14</v>
      </c>
      <c r="G9" t="s">
        <v>28</v>
      </c>
      <c r="H9" t="s">
        <v>29</v>
      </c>
      <c r="I9" t="s">
        <v>17</v>
      </c>
      <c r="J9" t="s">
        <v>18</v>
      </c>
      <c r="K9">
        <v>6.9979703000000004E-2</v>
      </c>
      <c r="L9">
        <v>6.5382724000000003E-2</v>
      </c>
      <c r="M9">
        <v>6.6311413E-2</v>
      </c>
      <c r="N9">
        <v>7.0119944000000003E-2</v>
      </c>
      <c r="O9">
        <v>6.9602847999999995E-2</v>
      </c>
      <c r="P9">
        <v>6.5773413000000003E-2</v>
      </c>
      <c r="Q9">
        <v>6.6449803000000002E-2</v>
      </c>
      <c r="R9">
        <v>5.8657524000000003E-2</v>
      </c>
      <c r="S9">
        <v>6.5514906999999997E-2</v>
      </c>
      <c r="T9">
        <v>5.5957964999999998E-2</v>
      </c>
      <c r="U9">
        <v>6.6683927000000004E-2</v>
      </c>
      <c r="V9">
        <v>7.5598145000000005E-2</v>
      </c>
      <c r="W9">
        <v>7.5380864000000006E-2</v>
      </c>
      <c r="X9">
        <v>7.5794760000000003E-2</v>
      </c>
      <c r="Y9">
        <v>7.7110937000000004E-2</v>
      </c>
      <c r="Z9">
        <v>7.4165182999999996E-2</v>
      </c>
      <c r="AA9">
        <v>6.8581441000000007E-2</v>
      </c>
      <c r="AB9">
        <v>7.0588696000000006E-2</v>
      </c>
      <c r="AC9">
        <v>7.3209927999999994E-2</v>
      </c>
      <c r="AD9">
        <v>8.1518851000000003E-2</v>
      </c>
      <c r="AE9">
        <v>8.5016123999999998E-2</v>
      </c>
      <c r="AF9">
        <v>8.9771551000000005E-2</v>
      </c>
      <c r="AG9">
        <v>9.0519201999999993E-2</v>
      </c>
      <c r="AH9" s="1">
        <v>0.175621581</v>
      </c>
    </row>
    <row r="10" spans="1:34" x14ac:dyDescent="0.2">
      <c r="A10" t="s">
        <v>10</v>
      </c>
      <c r="B10" t="s">
        <v>11</v>
      </c>
      <c r="C10" t="s">
        <v>10</v>
      </c>
      <c r="D10" t="s">
        <v>12</v>
      </c>
      <c r="E10" t="s">
        <v>13</v>
      </c>
      <c r="F10" t="s">
        <v>14</v>
      </c>
      <c r="G10" t="s">
        <v>33</v>
      </c>
      <c r="H10" t="s">
        <v>34</v>
      </c>
      <c r="I10" t="s">
        <v>17</v>
      </c>
      <c r="J10" t="s">
        <v>18</v>
      </c>
      <c r="K10">
        <v>41.219855369999998</v>
      </c>
      <c r="L10">
        <v>41.932733749999997</v>
      </c>
      <c r="M10">
        <v>42.623747659999999</v>
      </c>
      <c r="N10">
        <v>43.429158430000001</v>
      </c>
      <c r="O10">
        <v>44.468495859999997</v>
      </c>
      <c r="P10">
        <v>45.46117332</v>
      </c>
      <c r="Q10">
        <v>46.671885199999998</v>
      </c>
      <c r="R10">
        <v>46.070608759999999</v>
      </c>
      <c r="S10">
        <v>45.50145097</v>
      </c>
      <c r="T10">
        <v>45.888812270000003</v>
      </c>
      <c r="U10">
        <v>47.121576040000001</v>
      </c>
      <c r="V10">
        <v>48.302226339999997</v>
      </c>
      <c r="W10">
        <v>49.54733075</v>
      </c>
      <c r="X10">
        <v>50.566058099999999</v>
      </c>
      <c r="Y10">
        <v>51.687190479999998</v>
      </c>
      <c r="Z10">
        <v>52.882525049999998</v>
      </c>
      <c r="AA10">
        <v>53.964676220000001</v>
      </c>
      <c r="AB10">
        <v>54.950661750000002</v>
      </c>
      <c r="AC10">
        <v>55.91886246</v>
      </c>
      <c r="AD10">
        <v>56.945587619999998</v>
      </c>
      <c r="AE10">
        <v>57.99120147</v>
      </c>
      <c r="AF10">
        <v>59.006134830000001</v>
      </c>
      <c r="AG10">
        <v>60.038853160000002</v>
      </c>
      <c r="AH10" s="1">
        <v>34.569502207500001</v>
      </c>
    </row>
    <row r="11" spans="1:34" x14ac:dyDescent="0.2">
      <c r="A11" t="s">
        <v>10</v>
      </c>
      <c r="B11" t="s">
        <v>11</v>
      </c>
      <c r="C11" t="s">
        <v>10</v>
      </c>
      <c r="D11" t="s">
        <v>12</v>
      </c>
      <c r="E11" t="s">
        <v>13</v>
      </c>
      <c r="F11" t="s">
        <v>14</v>
      </c>
      <c r="G11" t="s">
        <v>33</v>
      </c>
      <c r="H11" t="s">
        <v>34</v>
      </c>
      <c r="I11" t="s">
        <v>21</v>
      </c>
      <c r="J11" t="s">
        <v>18</v>
      </c>
      <c r="K11">
        <v>3.6409479000000002E-2</v>
      </c>
      <c r="L11">
        <v>3.8360760000000001E-2</v>
      </c>
      <c r="M11">
        <v>4.6940269999999999E-2</v>
      </c>
      <c r="N11">
        <v>6.2947828999999997E-2</v>
      </c>
      <c r="O11">
        <v>6.4211563999999999E-2</v>
      </c>
      <c r="P11">
        <v>8.0231954999999994E-2</v>
      </c>
      <c r="Q11">
        <v>8.1252583000000003E-2</v>
      </c>
      <c r="R11">
        <v>8.1509728000000004E-2</v>
      </c>
      <c r="S11">
        <v>0.13867284099999999</v>
      </c>
      <c r="T11">
        <v>0.149997834</v>
      </c>
      <c r="U11">
        <v>0.169291678</v>
      </c>
      <c r="V11">
        <v>0.173077279</v>
      </c>
      <c r="W11">
        <v>0.17481897399999999</v>
      </c>
      <c r="X11">
        <v>0.432139143</v>
      </c>
      <c r="Y11">
        <v>0.43972135000000001</v>
      </c>
      <c r="Z11">
        <v>0.44728757400000002</v>
      </c>
      <c r="AA11">
        <v>0.45479909699999999</v>
      </c>
      <c r="AB11">
        <v>0.46226030499999998</v>
      </c>
      <c r="AC11">
        <v>0.46966686099999999</v>
      </c>
      <c r="AD11">
        <v>0.47701704299999997</v>
      </c>
      <c r="AE11">
        <v>0.48431031899999999</v>
      </c>
      <c r="AF11">
        <v>0.49171486800000003</v>
      </c>
      <c r="AG11">
        <v>0.49923262400000001</v>
      </c>
      <c r="AH11" s="1">
        <v>0</v>
      </c>
    </row>
    <row r="12" spans="1:34" x14ac:dyDescent="0.2">
      <c r="A12" t="s">
        <v>10</v>
      </c>
      <c r="B12" t="s">
        <v>11</v>
      </c>
      <c r="C12" t="s">
        <v>10</v>
      </c>
      <c r="D12" t="s">
        <v>12</v>
      </c>
      <c r="E12" t="s">
        <v>13</v>
      </c>
      <c r="F12" t="s">
        <v>14</v>
      </c>
      <c r="G12" t="s">
        <v>36</v>
      </c>
      <c r="H12" t="s">
        <v>41</v>
      </c>
      <c r="I12" t="s">
        <v>21</v>
      </c>
      <c r="J12" t="s">
        <v>18</v>
      </c>
      <c r="K12">
        <v>10.118</v>
      </c>
      <c r="L12">
        <v>10.118</v>
      </c>
      <c r="M12">
        <v>10.118</v>
      </c>
      <c r="N12">
        <v>10.118</v>
      </c>
      <c r="O12">
        <v>10.118</v>
      </c>
      <c r="P12">
        <v>10.118</v>
      </c>
      <c r="Q12">
        <v>10.118</v>
      </c>
      <c r="R12">
        <v>10.118</v>
      </c>
      <c r="S12">
        <v>12.741</v>
      </c>
      <c r="T12">
        <v>19.318000000000001</v>
      </c>
      <c r="U12">
        <v>13.462999999999999</v>
      </c>
      <c r="V12">
        <v>19.527000000000001</v>
      </c>
      <c r="W12">
        <v>19.077999999999999</v>
      </c>
      <c r="X12">
        <v>20.55</v>
      </c>
      <c r="Y12">
        <v>25.824000000000002</v>
      </c>
      <c r="Z12">
        <v>21.673999999999999</v>
      </c>
      <c r="AA12">
        <v>21.673999999999999</v>
      </c>
      <c r="AB12">
        <v>21.673999999999999</v>
      </c>
      <c r="AC12">
        <v>21.673999999999999</v>
      </c>
      <c r="AD12">
        <v>21.673999999999999</v>
      </c>
      <c r="AE12">
        <v>21.673999999999999</v>
      </c>
      <c r="AF12">
        <v>21.673999999999999</v>
      </c>
      <c r="AG12">
        <v>21.673999999999999</v>
      </c>
      <c r="AH12" s="1">
        <v>11.4864616431</v>
      </c>
    </row>
    <row r="13" spans="1:34" x14ac:dyDescent="0.2">
      <c r="A13" t="s">
        <v>10</v>
      </c>
      <c r="B13" t="s">
        <v>11</v>
      </c>
      <c r="C13" t="s">
        <v>10</v>
      </c>
      <c r="D13" t="s">
        <v>12</v>
      </c>
      <c r="E13" t="s">
        <v>13</v>
      </c>
      <c r="F13" t="s">
        <v>14</v>
      </c>
      <c r="G13" t="s">
        <v>15</v>
      </c>
      <c r="H13" t="s">
        <v>20</v>
      </c>
      <c r="I13" t="s">
        <v>19</v>
      </c>
      <c r="J13" t="s">
        <v>18</v>
      </c>
      <c r="K13">
        <v>23.925763929999999</v>
      </c>
      <c r="L13">
        <v>23.942421589999999</v>
      </c>
      <c r="M13">
        <v>23.205936300000001</v>
      </c>
      <c r="N13">
        <v>23.512725360000001</v>
      </c>
      <c r="O13">
        <v>23.433691620000001</v>
      </c>
      <c r="P13">
        <v>23.03445992</v>
      </c>
      <c r="Q13">
        <v>23.018968860000001</v>
      </c>
      <c r="R13">
        <v>23.996837209999999</v>
      </c>
      <c r="S13">
        <v>23.370014999999999</v>
      </c>
      <c r="T13">
        <v>23.726224040000002</v>
      </c>
      <c r="U13">
        <v>24.284862520000001</v>
      </c>
      <c r="V13">
        <v>24.19286718</v>
      </c>
      <c r="W13">
        <v>24.241948659999998</v>
      </c>
      <c r="X13">
        <v>25.963166099999999</v>
      </c>
      <c r="Y13">
        <v>26.667177379999998</v>
      </c>
      <c r="Z13">
        <v>25.807687529999999</v>
      </c>
      <c r="AA13">
        <v>26.80263304</v>
      </c>
      <c r="AB13">
        <v>26.963314329999999</v>
      </c>
      <c r="AC13">
        <v>26.710940990000001</v>
      </c>
      <c r="AD13">
        <v>26.958948540000002</v>
      </c>
      <c r="AE13">
        <v>28.086871899999998</v>
      </c>
      <c r="AF13">
        <v>28.638162869999999</v>
      </c>
      <c r="AG13">
        <v>29.452257769999999</v>
      </c>
      <c r="AH13" s="1">
        <v>20.602514499560996</v>
      </c>
    </row>
    <row r="14" spans="1:34" x14ac:dyDescent="0.2">
      <c r="A14" t="s">
        <v>10</v>
      </c>
      <c r="B14" t="s">
        <v>11</v>
      </c>
      <c r="C14" t="s">
        <v>10</v>
      </c>
      <c r="D14" t="s">
        <v>12</v>
      </c>
      <c r="E14" t="s">
        <v>13</v>
      </c>
      <c r="F14" t="s">
        <v>14</v>
      </c>
      <c r="G14" t="s">
        <v>22</v>
      </c>
      <c r="H14" t="s">
        <v>24</v>
      </c>
      <c r="I14" t="s">
        <v>19</v>
      </c>
      <c r="J14" t="s">
        <v>18</v>
      </c>
      <c r="K14">
        <v>0.20293504500000001</v>
      </c>
      <c r="L14">
        <v>0.23067982400000001</v>
      </c>
      <c r="M14">
        <v>0.23561320399999999</v>
      </c>
      <c r="N14">
        <v>0.24749812299999999</v>
      </c>
      <c r="O14">
        <v>0.22971223800000001</v>
      </c>
      <c r="P14">
        <v>0.25940547800000002</v>
      </c>
      <c r="Q14">
        <v>0.245010687</v>
      </c>
      <c r="R14">
        <v>0.24812603</v>
      </c>
      <c r="S14">
        <v>0.207845223</v>
      </c>
      <c r="T14">
        <v>0.221636784</v>
      </c>
      <c r="U14">
        <v>0.24057545499999999</v>
      </c>
      <c r="V14">
        <v>0.240652378</v>
      </c>
      <c r="W14">
        <v>0.26606793699999998</v>
      </c>
      <c r="X14">
        <v>0.25948502899999998</v>
      </c>
      <c r="Y14">
        <v>0.27674016099999998</v>
      </c>
      <c r="Z14">
        <v>0.27271532399999998</v>
      </c>
      <c r="AA14">
        <v>0.283417011</v>
      </c>
      <c r="AB14">
        <v>0.28435456999999997</v>
      </c>
      <c r="AC14">
        <v>0.276586475</v>
      </c>
      <c r="AD14">
        <v>0.27160249800000003</v>
      </c>
      <c r="AE14">
        <v>0.222153818</v>
      </c>
      <c r="AF14">
        <v>0.201151106</v>
      </c>
      <c r="AG14">
        <v>0.23347547299999999</v>
      </c>
      <c r="AH14" s="1">
        <v>0.18478676699999999</v>
      </c>
    </row>
    <row r="15" spans="1:34" x14ac:dyDescent="0.2">
      <c r="A15" t="s">
        <v>10</v>
      </c>
      <c r="B15" t="s">
        <v>11</v>
      </c>
      <c r="C15" t="s">
        <v>10</v>
      </c>
      <c r="D15" t="s">
        <v>12</v>
      </c>
      <c r="E15" t="s">
        <v>13</v>
      </c>
      <c r="F15" t="s">
        <v>14</v>
      </c>
      <c r="G15" t="s">
        <v>22</v>
      </c>
      <c r="H15" t="s">
        <v>25</v>
      </c>
      <c r="I15" t="s">
        <v>17</v>
      </c>
      <c r="J15" t="s">
        <v>18</v>
      </c>
      <c r="K15">
        <v>36.34341878</v>
      </c>
      <c r="L15">
        <v>34.509826840000002</v>
      </c>
      <c r="M15">
        <v>33.056081370000001</v>
      </c>
      <c r="N15">
        <v>36.001396139999997</v>
      </c>
      <c r="O15">
        <v>34.966046429999999</v>
      </c>
      <c r="P15">
        <v>36.171244000000002</v>
      </c>
      <c r="Q15">
        <v>39.397795090000002</v>
      </c>
      <c r="R15">
        <v>41.360318380000002</v>
      </c>
      <c r="S15">
        <v>44.623624300000003</v>
      </c>
      <c r="T15">
        <v>41.817096509999999</v>
      </c>
      <c r="U15">
        <v>39.694177830000001</v>
      </c>
      <c r="V15">
        <v>40.215978720000003</v>
      </c>
      <c r="W15">
        <v>37.938341729999998</v>
      </c>
      <c r="X15">
        <v>37.36503768</v>
      </c>
      <c r="Y15">
        <v>34.723739250000001</v>
      </c>
      <c r="Z15">
        <v>32.196337280000002</v>
      </c>
      <c r="AA15">
        <v>30.324639999999999</v>
      </c>
      <c r="AB15">
        <v>27.30995558</v>
      </c>
      <c r="AC15">
        <v>26.818727330000002</v>
      </c>
      <c r="AD15">
        <v>25.53013309</v>
      </c>
      <c r="AE15">
        <v>25.685318850000002</v>
      </c>
      <c r="AF15">
        <v>25.375439480000001</v>
      </c>
      <c r="AG15">
        <v>26.074541719999999</v>
      </c>
      <c r="AH15" s="1">
        <v>19.069988526210004</v>
      </c>
    </row>
    <row r="16" spans="1:34" x14ac:dyDescent="0.2">
      <c r="A16" t="s">
        <v>10</v>
      </c>
      <c r="B16" t="s">
        <v>11</v>
      </c>
      <c r="C16" t="s">
        <v>10</v>
      </c>
      <c r="D16" t="s">
        <v>12</v>
      </c>
      <c r="E16" t="s">
        <v>13</v>
      </c>
      <c r="F16" t="s">
        <v>14</v>
      </c>
      <c r="G16" t="s">
        <v>22</v>
      </c>
      <c r="H16" t="s">
        <v>25</v>
      </c>
      <c r="I16" t="s">
        <v>21</v>
      </c>
      <c r="J16" t="s">
        <v>18</v>
      </c>
      <c r="K16">
        <v>53.491341689999999</v>
      </c>
      <c r="L16">
        <v>53.515796590000001</v>
      </c>
      <c r="M16">
        <v>53.487317320000002</v>
      </c>
      <c r="N16">
        <v>59.264539319999997</v>
      </c>
      <c r="O16">
        <v>61.272798469999998</v>
      </c>
      <c r="P16">
        <v>61.601749949999999</v>
      </c>
      <c r="Q16">
        <v>62.698106529999997</v>
      </c>
      <c r="R16">
        <v>62.389783790000003</v>
      </c>
      <c r="S16">
        <v>64.359301810000005</v>
      </c>
      <c r="T16">
        <v>63.45719407</v>
      </c>
      <c r="U16">
        <v>63.69342932</v>
      </c>
      <c r="V16">
        <v>62.752436709999998</v>
      </c>
      <c r="W16">
        <v>68.140431419999999</v>
      </c>
      <c r="X16">
        <v>66.655719289999993</v>
      </c>
      <c r="Y16">
        <v>62.999435179999999</v>
      </c>
      <c r="Z16">
        <v>61.518355700000001</v>
      </c>
      <c r="AA16">
        <v>56.955495310000003</v>
      </c>
      <c r="AB16">
        <v>49.129079730000001</v>
      </c>
      <c r="AC16">
        <v>52.996879380000003</v>
      </c>
      <c r="AD16">
        <v>57.411955059999997</v>
      </c>
      <c r="AE16">
        <v>57.468671049999998</v>
      </c>
      <c r="AF16">
        <v>60.569615050000003</v>
      </c>
      <c r="AG16">
        <v>61.441516819999997</v>
      </c>
      <c r="AH16" s="1">
        <v>18.549537345694002</v>
      </c>
    </row>
    <row r="17" spans="1:34" x14ac:dyDescent="0.2">
      <c r="A17" t="s">
        <v>10</v>
      </c>
      <c r="B17" t="s">
        <v>11</v>
      </c>
      <c r="C17" t="s">
        <v>10</v>
      </c>
      <c r="D17" t="s">
        <v>12</v>
      </c>
      <c r="E17" t="s">
        <v>13</v>
      </c>
      <c r="F17" t="s">
        <v>14</v>
      </c>
      <c r="G17" t="s">
        <v>22</v>
      </c>
      <c r="H17" t="s">
        <v>25</v>
      </c>
      <c r="I17" t="s">
        <v>19</v>
      </c>
      <c r="J17" t="s">
        <v>18</v>
      </c>
      <c r="K17">
        <v>6.2668790000000002E-2</v>
      </c>
      <c r="L17">
        <v>5.9053106000000001E-2</v>
      </c>
      <c r="M17">
        <v>5.7043677000000001E-2</v>
      </c>
      <c r="N17">
        <v>6.2626029999999999E-2</v>
      </c>
      <c r="O17">
        <v>6.0964338999999999E-2</v>
      </c>
      <c r="P17">
        <v>6.1242712999999997E-2</v>
      </c>
      <c r="Q17">
        <v>6.3395850000000004E-2</v>
      </c>
      <c r="R17">
        <v>6.5326276000000003E-2</v>
      </c>
      <c r="S17">
        <v>7.0925086999999998E-2</v>
      </c>
      <c r="T17">
        <v>6.6536347999999995E-2</v>
      </c>
      <c r="U17">
        <v>6.4189437000000002E-2</v>
      </c>
      <c r="V17">
        <v>5.9942255E-2</v>
      </c>
      <c r="W17">
        <v>7.3869786000000007E-2</v>
      </c>
      <c r="X17">
        <v>7.4722497999999998E-2</v>
      </c>
      <c r="Y17">
        <v>7.5672494000000007E-2</v>
      </c>
      <c r="Z17">
        <v>7.4749217000000007E-2</v>
      </c>
      <c r="AA17">
        <v>6.7790785000000006E-2</v>
      </c>
      <c r="AB17">
        <v>5.7847917999999998E-2</v>
      </c>
      <c r="AC17">
        <v>5.7240125000000003E-2</v>
      </c>
      <c r="AD17">
        <v>6.2386116999999998E-2</v>
      </c>
      <c r="AE17">
        <v>6.8713635999999995E-2</v>
      </c>
      <c r="AF17">
        <v>7.5492628000000006E-2</v>
      </c>
      <c r="AG17">
        <v>7.1320744000000005E-2</v>
      </c>
      <c r="AH17" s="1">
        <v>8.5216782642399992E-3</v>
      </c>
    </row>
    <row r="18" spans="1:34" x14ac:dyDescent="0.2">
      <c r="A18" t="s">
        <v>10</v>
      </c>
      <c r="B18" t="s">
        <v>11</v>
      </c>
      <c r="C18" t="s">
        <v>10</v>
      </c>
      <c r="D18" t="s">
        <v>12</v>
      </c>
      <c r="E18" t="s">
        <v>13</v>
      </c>
      <c r="F18" t="s">
        <v>14</v>
      </c>
      <c r="G18" t="s">
        <v>22</v>
      </c>
      <c r="H18" t="s">
        <v>26</v>
      </c>
      <c r="I18" t="s">
        <v>17</v>
      </c>
      <c r="J18" t="s">
        <v>18</v>
      </c>
      <c r="K18">
        <v>9.1683832000000007E-2</v>
      </c>
      <c r="L18">
        <v>8.0841033000000007E-2</v>
      </c>
      <c r="M18">
        <v>8.1291739000000002E-2</v>
      </c>
      <c r="N18">
        <v>9.1993408999999998E-2</v>
      </c>
      <c r="O18">
        <v>9.6071251999999996E-2</v>
      </c>
      <c r="P18">
        <v>0.110754143</v>
      </c>
      <c r="Q18">
        <v>0.124952788</v>
      </c>
      <c r="R18">
        <v>0.10776204</v>
      </c>
      <c r="S18">
        <v>0.117372384</v>
      </c>
      <c r="T18">
        <v>8.5108817000000003E-2</v>
      </c>
      <c r="U18">
        <v>0.104124123</v>
      </c>
      <c r="V18">
        <v>0.119632899</v>
      </c>
      <c r="W18">
        <v>9.6688707999999998E-2</v>
      </c>
      <c r="X18">
        <v>0.122576979</v>
      </c>
      <c r="Y18">
        <v>8.7655366999999998E-2</v>
      </c>
      <c r="Z18">
        <v>0.10492122700000001</v>
      </c>
      <c r="AA18">
        <v>8.6383877999999997E-2</v>
      </c>
      <c r="AB18">
        <v>0.13487666200000001</v>
      </c>
      <c r="AC18">
        <v>0.10552239300000001</v>
      </c>
      <c r="AD18">
        <v>0.11244462400000001</v>
      </c>
      <c r="AE18">
        <v>0.101222481</v>
      </c>
      <c r="AF18">
        <v>9.8463547999999998E-2</v>
      </c>
      <c r="AG18">
        <v>0.10717942900000001</v>
      </c>
      <c r="AH18" s="1">
        <v>8.5116590228306102E-2</v>
      </c>
    </row>
    <row r="19" spans="1:34" x14ac:dyDescent="0.2">
      <c r="A19" t="s">
        <v>10</v>
      </c>
      <c r="B19" t="s">
        <v>11</v>
      </c>
      <c r="C19" t="s">
        <v>10</v>
      </c>
      <c r="D19" t="s">
        <v>12</v>
      </c>
      <c r="E19" t="s">
        <v>13</v>
      </c>
      <c r="F19" t="s">
        <v>14</v>
      </c>
      <c r="G19" t="s">
        <v>28</v>
      </c>
      <c r="H19" t="s">
        <v>29</v>
      </c>
      <c r="I19" t="s">
        <v>21</v>
      </c>
      <c r="J19" t="s">
        <v>18</v>
      </c>
      <c r="K19">
        <v>26.4383494</v>
      </c>
      <c r="L19">
        <v>24.237579029999999</v>
      </c>
      <c r="M19">
        <v>24.48998035</v>
      </c>
      <c r="N19">
        <v>25.018430439999999</v>
      </c>
      <c r="O19">
        <v>26.324976899999999</v>
      </c>
      <c r="P19">
        <v>26.787882400000001</v>
      </c>
      <c r="Q19">
        <v>28.350855580000001</v>
      </c>
      <c r="R19">
        <v>27.65205499</v>
      </c>
      <c r="S19">
        <v>26.309208909999999</v>
      </c>
      <c r="T19">
        <v>26.110410850000001</v>
      </c>
      <c r="U19">
        <v>26.345019059999998</v>
      </c>
      <c r="V19">
        <v>21.465715700000001</v>
      </c>
      <c r="W19">
        <v>33.290346110000002</v>
      </c>
      <c r="X19">
        <v>30.301973759999999</v>
      </c>
      <c r="Y19">
        <v>31.404874419999999</v>
      </c>
      <c r="Z19">
        <v>32.832920139999999</v>
      </c>
      <c r="AA19">
        <v>36.861651420000001</v>
      </c>
      <c r="AB19">
        <v>41.54636017</v>
      </c>
      <c r="AC19">
        <v>46.904941559999997</v>
      </c>
      <c r="AD19">
        <v>46.31847587</v>
      </c>
      <c r="AE19">
        <v>54.892747489999998</v>
      </c>
      <c r="AF19">
        <v>59.65781819</v>
      </c>
      <c r="AG19">
        <v>57.589810489999998</v>
      </c>
      <c r="AH19" s="1">
        <v>43.775345066660542</v>
      </c>
    </row>
    <row r="20" spans="1:34" x14ac:dyDescent="0.2">
      <c r="A20" t="s">
        <v>10</v>
      </c>
      <c r="B20" t="s">
        <v>11</v>
      </c>
      <c r="C20" t="s">
        <v>10</v>
      </c>
      <c r="D20" t="s">
        <v>12</v>
      </c>
      <c r="E20" t="s">
        <v>13</v>
      </c>
      <c r="F20" t="s">
        <v>14</v>
      </c>
      <c r="G20" t="s">
        <v>33</v>
      </c>
      <c r="H20" t="s">
        <v>34</v>
      </c>
      <c r="I20" t="s">
        <v>19</v>
      </c>
      <c r="J20" t="s">
        <v>18</v>
      </c>
      <c r="K20">
        <v>2.5696149999999999E-3</v>
      </c>
      <c r="L20">
        <v>2.621745E-3</v>
      </c>
      <c r="M20">
        <v>3.1059920000000001E-3</v>
      </c>
      <c r="N20">
        <v>4.0316249999999996E-3</v>
      </c>
      <c r="O20">
        <v>3.9796199999999997E-3</v>
      </c>
      <c r="P20">
        <v>4.8103859999999998E-3</v>
      </c>
      <c r="Q20">
        <v>4.871579E-3</v>
      </c>
      <c r="R20">
        <v>4.8869960000000002E-3</v>
      </c>
      <c r="S20">
        <v>8.3142670000000002E-3</v>
      </c>
      <c r="T20">
        <v>8.9932680000000004E-3</v>
      </c>
      <c r="U20">
        <v>1.0150049E-2</v>
      </c>
      <c r="V20">
        <v>1.0377018999999999E-2</v>
      </c>
      <c r="W20">
        <v>1.0481443999999999E-2</v>
      </c>
      <c r="X20">
        <v>2.5909326999999999E-2</v>
      </c>
      <c r="Y20">
        <v>2.6363925999999999E-2</v>
      </c>
      <c r="Z20">
        <v>2.6817567E-2</v>
      </c>
      <c r="AA20">
        <v>2.7267927000000001E-2</v>
      </c>
      <c r="AB20">
        <v>2.7715271E-2</v>
      </c>
      <c r="AC20">
        <v>2.8159338999999999E-2</v>
      </c>
      <c r="AD20">
        <v>2.8600026000000001E-2</v>
      </c>
      <c r="AE20">
        <v>2.9037302000000001E-2</v>
      </c>
      <c r="AF20">
        <v>2.9481249000000001E-2</v>
      </c>
      <c r="AG20">
        <v>2.9931982999999999E-2</v>
      </c>
      <c r="AH20" s="1">
        <v>6.9906612599999987E-2</v>
      </c>
    </row>
    <row r="21" spans="1:34" x14ac:dyDescent="0.2">
      <c r="G21" t="s">
        <v>36</v>
      </c>
      <c r="H21" t="s">
        <v>38</v>
      </c>
      <c r="I21" t="s">
        <v>17</v>
      </c>
      <c r="J21" t="s">
        <v>18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s="1">
        <v>3.7369571842</v>
      </c>
    </row>
    <row r="22" spans="1:34" x14ac:dyDescent="0.2">
      <c r="G22" t="s">
        <v>36</v>
      </c>
      <c r="H22" t="s">
        <v>39</v>
      </c>
      <c r="I22" t="s">
        <v>21</v>
      </c>
      <c r="J22" t="s">
        <v>18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s="1">
        <v>0</v>
      </c>
    </row>
    <row r="23" spans="1:34" x14ac:dyDescent="0.2">
      <c r="A23" t="s">
        <v>10</v>
      </c>
      <c r="B23" t="s">
        <v>11</v>
      </c>
      <c r="C23" t="s">
        <v>10</v>
      </c>
      <c r="D23" t="s">
        <v>12</v>
      </c>
      <c r="E23" t="s">
        <v>13</v>
      </c>
      <c r="F23" t="s">
        <v>14</v>
      </c>
      <c r="G23" t="s">
        <v>36</v>
      </c>
      <c r="H23" t="s">
        <v>37</v>
      </c>
      <c r="I23" t="s">
        <v>21</v>
      </c>
      <c r="J23" t="s">
        <v>18</v>
      </c>
      <c r="K23">
        <v>-208.63800000000001</v>
      </c>
      <c r="L23">
        <v>-202.9932</v>
      </c>
      <c r="M23">
        <v>-197.2484</v>
      </c>
      <c r="N23">
        <v>-199.20359999999999</v>
      </c>
      <c r="O23">
        <v>-202.4588</v>
      </c>
      <c r="P23">
        <v>-198.81399999999999</v>
      </c>
      <c r="Q23">
        <v>-197.5692</v>
      </c>
      <c r="R23">
        <v>-196.62440000000001</v>
      </c>
      <c r="S23">
        <v>-196.17959999999999</v>
      </c>
      <c r="T23">
        <v>-187.9348</v>
      </c>
      <c r="U23">
        <v>-189.29</v>
      </c>
      <c r="V23">
        <v>-188.54519999999999</v>
      </c>
      <c r="W23">
        <v>-190.8</v>
      </c>
      <c r="X23">
        <v>-190.01669999999999</v>
      </c>
      <c r="Y23">
        <v>-189.51669999999999</v>
      </c>
      <c r="Z23">
        <v>-189.0334</v>
      </c>
      <c r="AA23">
        <v>-191.93340000000001</v>
      </c>
      <c r="AB23">
        <v>-198.8501</v>
      </c>
      <c r="AC23">
        <v>-198.55009999999999</v>
      </c>
      <c r="AD23">
        <v>-200.67</v>
      </c>
      <c r="AE23">
        <v>-200.67</v>
      </c>
      <c r="AF23">
        <v>-200.67</v>
      </c>
      <c r="AG23">
        <v>-200.67</v>
      </c>
      <c r="AH23" s="1">
        <v>-196.59777311829998</v>
      </c>
    </row>
    <row r="24" spans="1:34" x14ac:dyDescent="0.2">
      <c r="G24" t="s">
        <v>36</v>
      </c>
      <c r="H24" t="s">
        <v>40</v>
      </c>
      <c r="I24" t="s">
        <v>21</v>
      </c>
      <c r="J24" t="s">
        <v>18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1">
        <v>-6.8550604386999998</v>
      </c>
    </row>
    <row r="25" spans="1:34" x14ac:dyDescent="0.2">
      <c r="A25" t="s">
        <v>10</v>
      </c>
      <c r="B25" t="s">
        <v>11</v>
      </c>
      <c r="C25" t="s">
        <v>10</v>
      </c>
      <c r="D25" t="s">
        <v>12</v>
      </c>
      <c r="E25" t="s">
        <v>13</v>
      </c>
      <c r="F25" t="s">
        <v>14</v>
      </c>
      <c r="G25" t="s">
        <v>36</v>
      </c>
      <c r="H25" t="s">
        <v>42</v>
      </c>
      <c r="I25" t="s">
        <v>21</v>
      </c>
      <c r="J25" t="s">
        <v>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s="1">
        <v>0</v>
      </c>
    </row>
    <row r="26" spans="1:34" x14ac:dyDescent="0.2">
      <c r="A26" t="s">
        <v>10</v>
      </c>
      <c r="B26" t="s">
        <v>11</v>
      </c>
      <c r="C26" t="s">
        <v>10</v>
      </c>
      <c r="D26" t="s">
        <v>12</v>
      </c>
      <c r="E26" t="s">
        <v>13</v>
      </c>
      <c r="F26" t="s">
        <v>14</v>
      </c>
      <c r="G26" t="s">
        <v>36</v>
      </c>
      <c r="H26" s="2" t="s">
        <v>43</v>
      </c>
      <c r="I26" t="s">
        <v>21</v>
      </c>
      <c r="J26" t="s">
        <v>18</v>
      </c>
      <c r="K26">
        <v>-9</v>
      </c>
      <c r="L26">
        <v>-9</v>
      </c>
      <c r="M26">
        <v>-1.9</v>
      </c>
      <c r="N26">
        <v>-2.9</v>
      </c>
      <c r="O26">
        <v>-3.1</v>
      </c>
      <c r="P26">
        <v>-2</v>
      </c>
      <c r="Q26">
        <v>-6</v>
      </c>
      <c r="R26">
        <v>1</v>
      </c>
      <c r="S26">
        <v>-1</v>
      </c>
      <c r="T26">
        <v>9</v>
      </c>
      <c r="U26">
        <v>4</v>
      </c>
      <c r="V26">
        <v>8</v>
      </c>
      <c r="W26">
        <v>5.5</v>
      </c>
      <c r="X26">
        <v>4</v>
      </c>
      <c r="Y26">
        <v>8</v>
      </c>
      <c r="Z26">
        <v>-2</v>
      </c>
      <c r="AA26">
        <v>7</v>
      </c>
      <c r="AB26">
        <v>-5</v>
      </c>
      <c r="AC26">
        <v>3</v>
      </c>
      <c r="AD26">
        <v>-2.1280000000000001</v>
      </c>
      <c r="AE26">
        <v>-2.1280000000000001</v>
      </c>
      <c r="AF26">
        <v>-2.1280000000000001</v>
      </c>
      <c r="AG26">
        <v>-2.1280000000000001</v>
      </c>
      <c r="AH26" s="1">
        <v>0.87769923849999998</v>
      </c>
    </row>
    <row r="27" spans="1:34" x14ac:dyDescent="0.2">
      <c r="A27" t="s">
        <v>10</v>
      </c>
      <c r="B27" t="s">
        <v>11</v>
      </c>
      <c r="C27" t="s">
        <v>10</v>
      </c>
      <c r="D27" t="s">
        <v>12</v>
      </c>
      <c r="E27" t="s">
        <v>13</v>
      </c>
      <c r="F27" t="s">
        <v>14</v>
      </c>
      <c r="G27" t="s">
        <v>28</v>
      </c>
      <c r="H27" t="s">
        <v>29</v>
      </c>
      <c r="I27" t="s">
        <v>30</v>
      </c>
      <c r="J27" t="s">
        <v>18</v>
      </c>
      <c r="K27">
        <v>2.1933684690000002</v>
      </c>
      <c r="L27">
        <v>2.0537558979999999</v>
      </c>
      <c r="M27">
        <v>2.7706015050000001</v>
      </c>
      <c r="N27">
        <v>3.0402710129999999</v>
      </c>
      <c r="O27">
        <v>3.3290408039999999</v>
      </c>
      <c r="P27">
        <v>4.7508748680000004</v>
      </c>
      <c r="Q27">
        <v>6.1972702579999996</v>
      </c>
      <c r="R27">
        <v>7.7905539810000004</v>
      </c>
      <c r="S27">
        <v>9.0248499540000005</v>
      </c>
      <c r="T27">
        <v>9.573062384</v>
      </c>
      <c r="U27">
        <v>10.615011669999999</v>
      </c>
      <c r="V27">
        <v>11.10417713</v>
      </c>
      <c r="W27">
        <v>10.78470317</v>
      </c>
      <c r="X27">
        <v>11.58883874</v>
      </c>
      <c r="Y27">
        <v>13.090126440000001</v>
      </c>
      <c r="Z27">
        <v>12.66310841</v>
      </c>
      <c r="AA27">
        <v>13.57321997</v>
      </c>
      <c r="AB27">
        <v>14.83182912</v>
      </c>
      <c r="AC27">
        <v>15.79345548</v>
      </c>
      <c r="AD27">
        <v>16.839520820000001</v>
      </c>
      <c r="AE27">
        <v>17.885871439999999</v>
      </c>
      <c r="AF27">
        <v>19.050157290000001</v>
      </c>
      <c r="AG27">
        <v>20.302672279999999</v>
      </c>
      <c r="AH27" s="1">
        <v>0</v>
      </c>
    </row>
    <row r="28" spans="1:34" x14ac:dyDescent="0.2">
      <c r="A28" t="s">
        <v>10</v>
      </c>
      <c r="B28" t="s">
        <v>11</v>
      </c>
      <c r="C28" t="s">
        <v>10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  <c r="K28">
        <v>66.861320129999996</v>
      </c>
      <c r="L28">
        <v>67.369813089999994</v>
      </c>
      <c r="M28">
        <v>68.900344340000004</v>
      </c>
      <c r="N28">
        <v>69.306505279999996</v>
      </c>
      <c r="O28">
        <v>69.2668623</v>
      </c>
      <c r="P28">
        <v>71.40940062</v>
      </c>
      <c r="Q28">
        <v>72.029948160000004</v>
      </c>
      <c r="R28">
        <v>72.724622089999997</v>
      </c>
      <c r="S28">
        <v>73.693570210000004</v>
      </c>
      <c r="T28">
        <v>74.742967239999999</v>
      </c>
      <c r="U28">
        <v>75.571807969999995</v>
      </c>
      <c r="V28">
        <v>76.539634309999997</v>
      </c>
      <c r="W28">
        <v>75.152108780000006</v>
      </c>
      <c r="X28">
        <v>76.472559939999996</v>
      </c>
      <c r="Y28">
        <v>77.803717860000006</v>
      </c>
      <c r="Z28">
        <v>79.323133709999993</v>
      </c>
      <c r="AA28">
        <v>80.065207560000005</v>
      </c>
      <c r="AB28">
        <v>81.119306399999999</v>
      </c>
      <c r="AC28">
        <v>82.254419720000001</v>
      </c>
      <c r="AD28">
        <v>83.209420739999999</v>
      </c>
      <c r="AE28">
        <v>84.150837989999999</v>
      </c>
      <c r="AF28">
        <v>85.588806770000005</v>
      </c>
      <c r="AG28">
        <v>88.035476680000002</v>
      </c>
      <c r="AH28" s="1">
        <v>100.104156</v>
      </c>
    </row>
    <row r="29" spans="1:34" x14ac:dyDescent="0.2">
      <c r="A29" t="s">
        <v>10</v>
      </c>
      <c r="B29" t="s">
        <v>11</v>
      </c>
      <c r="C29" t="s">
        <v>10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19</v>
      </c>
      <c r="J29" t="s">
        <v>18</v>
      </c>
      <c r="K29">
        <v>1.2557763909999999</v>
      </c>
      <c r="L29">
        <v>1.2501043949999999</v>
      </c>
      <c r="M29">
        <v>1.2479144550000001</v>
      </c>
      <c r="N29">
        <v>1.257076761</v>
      </c>
      <c r="O29">
        <v>1.3022064710000001</v>
      </c>
      <c r="P29">
        <v>1.3094484799999999</v>
      </c>
      <c r="Q29">
        <v>1.3188261800000001</v>
      </c>
      <c r="R29">
        <v>1.3216532540000001</v>
      </c>
      <c r="S29">
        <v>1.320888595</v>
      </c>
      <c r="T29">
        <v>1.3252183319999999</v>
      </c>
      <c r="U29">
        <v>1.339707218</v>
      </c>
      <c r="V29">
        <v>1.3495162350000001</v>
      </c>
      <c r="W29">
        <v>1.3735121560000001</v>
      </c>
      <c r="X29">
        <v>1.401916682</v>
      </c>
      <c r="Y29">
        <v>1.395352672</v>
      </c>
      <c r="Z29">
        <v>1.4180845559999999</v>
      </c>
      <c r="AA29">
        <v>1.4463428789999999</v>
      </c>
      <c r="AB29">
        <v>1.488383462</v>
      </c>
      <c r="AC29">
        <v>1.5398536350000001</v>
      </c>
      <c r="AD29">
        <v>1.5833815499999999</v>
      </c>
      <c r="AE29">
        <v>1.618593773</v>
      </c>
      <c r="AF29">
        <v>1.6563061809999999</v>
      </c>
      <c r="AG29">
        <v>1.7196749419999999</v>
      </c>
      <c r="AH29" s="1">
        <v>8.3266944349000003</v>
      </c>
    </row>
    <row r="30" spans="1:34" x14ac:dyDescent="0.2">
      <c r="A30" t="s">
        <v>10</v>
      </c>
      <c r="B30" t="s">
        <v>11</v>
      </c>
      <c r="C30" t="s">
        <v>10</v>
      </c>
      <c r="D30" t="s">
        <v>12</v>
      </c>
      <c r="E30" t="s">
        <v>13</v>
      </c>
      <c r="F30" t="s">
        <v>14</v>
      </c>
      <c r="G30" t="s">
        <v>22</v>
      </c>
      <c r="H30" t="s">
        <v>26</v>
      </c>
      <c r="I30" t="s">
        <v>21</v>
      </c>
      <c r="J30" t="s">
        <v>18</v>
      </c>
      <c r="K30">
        <v>52.914260980000002</v>
      </c>
      <c r="L30">
        <v>47.885278219999996</v>
      </c>
      <c r="M30">
        <v>51.466356390000001</v>
      </c>
      <c r="N30">
        <v>52.391348409999999</v>
      </c>
      <c r="O30">
        <v>56.299488439999998</v>
      </c>
      <c r="P30">
        <v>58.713483359999998</v>
      </c>
      <c r="Q30">
        <v>66.169689759999997</v>
      </c>
      <c r="R30">
        <v>62.130383930000001</v>
      </c>
      <c r="S30">
        <v>64.348859050000002</v>
      </c>
      <c r="T30">
        <v>52.108694890000002</v>
      </c>
      <c r="U30">
        <v>62.169880319999997</v>
      </c>
      <c r="V30">
        <v>67.933849800000004</v>
      </c>
      <c r="W30">
        <v>61.500284110000003</v>
      </c>
      <c r="X30">
        <v>65.750149120000003</v>
      </c>
      <c r="Y30">
        <v>59.04865633</v>
      </c>
      <c r="Z30">
        <v>66.01766868</v>
      </c>
      <c r="AA30">
        <v>61.93601778</v>
      </c>
      <c r="AB30">
        <v>68.3470595</v>
      </c>
      <c r="AC30">
        <v>50.759569450000001</v>
      </c>
      <c r="AD30">
        <v>55.885901459999999</v>
      </c>
      <c r="AE30">
        <v>50.356816649999999</v>
      </c>
      <c r="AF30">
        <v>51.640573959999998</v>
      </c>
      <c r="AG30">
        <v>57.599161250000002</v>
      </c>
      <c r="AH30" s="1">
        <v>59.464700963921359</v>
      </c>
    </row>
    <row r="31" spans="1:34" x14ac:dyDescent="0.2">
      <c r="A31" t="s">
        <v>10</v>
      </c>
      <c r="B31" t="s">
        <v>11</v>
      </c>
      <c r="C31" t="s">
        <v>10</v>
      </c>
      <c r="D31" t="s">
        <v>12</v>
      </c>
      <c r="E31" t="s">
        <v>13</v>
      </c>
      <c r="F31" t="s">
        <v>14</v>
      </c>
      <c r="G31" t="s">
        <v>22</v>
      </c>
      <c r="H31" t="s">
        <v>26</v>
      </c>
      <c r="I31" t="s">
        <v>19</v>
      </c>
      <c r="J31" t="s">
        <v>18</v>
      </c>
      <c r="K31">
        <v>0.12570561299999999</v>
      </c>
      <c r="L31">
        <v>0.112475796</v>
      </c>
      <c r="M31">
        <v>0.112891476</v>
      </c>
      <c r="N31">
        <v>0.129104266</v>
      </c>
      <c r="O31">
        <v>0.13649135400000001</v>
      </c>
      <c r="P31">
        <v>0.15667473200000001</v>
      </c>
      <c r="Q31">
        <v>0.17580694799999999</v>
      </c>
      <c r="R31">
        <v>0.153421528</v>
      </c>
      <c r="S31">
        <v>0.164392555</v>
      </c>
      <c r="T31">
        <v>0.120229661</v>
      </c>
      <c r="U31">
        <v>0.14603554199999999</v>
      </c>
      <c r="V31">
        <v>0.167244693</v>
      </c>
      <c r="W31">
        <v>0.134408536</v>
      </c>
      <c r="X31">
        <v>0.16755202299999999</v>
      </c>
      <c r="Y31">
        <v>0.12118393199999999</v>
      </c>
      <c r="Z31">
        <v>0.146764849</v>
      </c>
      <c r="AA31">
        <v>0.120764527</v>
      </c>
      <c r="AB31">
        <v>0.18239080499999999</v>
      </c>
      <c r="AC31">
        <v>0.166514781</v>
      </c>
      <c r="AD31">
        <v>0.17927579699999999</v>
      </c>
      <c r="AE31">
        <v>0.16003008699999999</v>
      </c>
      <c r="AF31">
        <v>0.156714305</v>
      </c>
      <c r="AG31">
        <v>0.17068877900000001</v>
      </c>
      <c r="AH31" s="1">
        <v>0.11494581626438267</v>
      </c>
    </row>
    <row r="32" spans="1:34" x14ac:dyDescent="0.2">
      <c r="A32" t="s">
        <v>10</v>
      </c>
      <c r="B32" t="s">
        <v>11</v>
      </c>
      <c r="C32" t="s">
        <v>10</v>
      </c>
      <c r="D32" t="s">
        <v>12</v>
      </c>
      <c r="E32" t="s">
        <v>13</v>
      </c>
      <c r="F32" t="s">
        <v>14</v>
      </c>
      <c r="G32" t="s">
        <v>22</v>
      </c>
      <c r="H32" t="s">
        <v>27</v>
      </c>
      <c r="I32" t="s">
        <v>17</v>
      </c>
      <c r="J32" t="s">
        <v>18</v>
      </c>
      <c r="K32">
        <v>0.793722029</v>
      </c>
      <c r="L32">
        <v>0.81562628199999998</v>
      </c>
      <c r="M32">
        <v>0.82979892</v>
      </c>
      <c r="N32">
        <v>0.85797265300000003</v>
      </c>
      <c r="O32">
        <v>0.88661950899999997</v>
      </c>
      <c r="P32">
        <v>0.91458411500000003</v>
      </c>
      <c r="Q32">
        <v>0.952267325</v>
      </c>
      <c r="R32">
        <v>0.98873344900000004</v>
      </c>
      <c r="S32">
        <v>1.021136536</v>
      </c>
      <c r="T32">
        <v>0.98249413699999999</v>
      </c>
      <c r="U32">
        <v>0.96949291000000004</v>
      </c>
      <c r="V32">
        <v>0.95869596800000001</v>
      </c>
      <c r="W32">
        <v>0.94017725399999996</v>
      </c>
      <c r="X32">
        <v>0.90815821699999999</v>
      </c>
      <c r="Y32">
        <v>0.85895950300000001</v>
      </c>
      <c r="Z32">
        <v>0.83404375399999997</v>
      </c>
      <c r="AA32">
        <v>0.83254319499999996</v>
      </c>
      <c r="AB32">
        <v>0.78485239299999998</v>
      </c>
      <c r="AC32">
        <v>0.73523707900000002</v>
      </c>
      <c r="AD32">
        <v>0.75039567299999999</v>
      </c>
      <c r="AE32">
        <v>0.54750886300000001</v>
      </c>
      <c r="AF32">
        <v>0.61502946999999997</v>
      </c>
      <c r="AG32">
        <v>0.74600283899999997</v>
      </c>
      <c r="AH32" s="1">
        <v>0.64647767950000001</v>
      </c>
    </row>
    <row r="33" spans="1:34" x14ac:dyDescent="0.2">
      <c r="A33" t="s">
        <v>10</v>
      </c>
      <c r="B33" t="s">
        <v>11</v>
      </c>
      <c r="C33" t="s">
        <v>10</v>
      </c>
      <c r="D33" t="s">
        <v>12</v>
      </c>
      <c r="E33" t="s">
        <v>13</v>
      </c>
      <c r="F33" t="s">
        <v>14</v>
      </c>
      <c r="G33" t="s">
        <v>22</v>
      </c>
      <c r="H33" t="s">
        <v>27</v>
      </c>
      <c r="I33" t="s">
        <v>21</v>
      </c>
      <c r="J33" t="s">
        <v>18</v>
      </c>
      <c r="K33">
        <v>105.612213</v>
      </c>
      <c r="L33">
        <v>107.8844352</v>
      </c>
      <c r="M33">
        <v>109.78165660000001</v>
      </c>
      <c r="N33">
        <v>116.3803319</v>
      </c>
      <c r="O33">
        <v>122.7580538</v>
      </c>
      <c r="P33">
        <v>130.2342812</v>
      </c>
      <c r="Q33">
        <v>137.4066948</v>
      </c>
      <c r="R33">
        <v>145.17287250000001</v>
      </c>
      <c r="S33">
        <v>151.1830741</v>
      </c>
      <c r="T33">
        <v>147.6966194</v>
      </c>
      <c r="U33">
        <v>150.57899990000001</v>
      </c>
      <c r="V33">
        <v>151.65854909999999</v>
      </c>
      <c r="W33">
        <v>152.5066491</v>
      </c>
      <c r="X33">
        <v>150.639388</v>
      </c>
      <c r="Y33">
        <v>151.2396311</v>
      </c>
      <c r="Z33">
        <v>150.50565109999999</v>
      </c>
      <c r="AA33">
        <v>155.88511349999999</v>
      </c>
      <c r="AB33">
        <v>151.37329700000001</v>
      </c>
      <c r="AC33">
        <v>147.37328299999999</v>
      </c>
      <c r="AD33">
        <v>150.13342019999999</v>
      </c>
      <c r="AE33">
        <v>106.1762066</v>
      </c>
      <c r="AF33">
        <v>119.381316</v>
      </c>
      <c r="AG33">
        <v>144.6051099</v>
      </c>
      <c r="AH33" s="1">
        <v>166.16134968700001</v>
      </c>
    </row>
    <row r="34" spans="1:34" x14ac:dyDescent="0.2">
      <c r="A34" t="s">
        <v>10</v>
      </c>
      <c r="B34" t="s">
        <v>11</v>
      </c>
      <c r="C34" t="s">
        <v>10</v>
      </c>
      <c r="D34" t="s">
        <v>12</v>
      </c>
      <c r="E34" t="s">
        <v>13</v>
      </c>
      <c r="F34" t="s">
        <v>14</v>
      </c>
      <c r="G34" t="s">
        <v>22</v>
      </c>
      <c r="H34" t="s">
        <v>27</v>
      </c>
      <c r="I34" t="s">
        <v>19</v>
      </c>
      <c r="J34" t="s">
        <v>18</v>
      </c>
      <c r="K34">
        <v>1.461298505</v>
      </c>
      <c r="L34">
        <v>1.491520113</v>
      </c>
      <c r="M34">
        <v>1.5296396219999999</v>
      </c>
      <c r="N34">
        <v>1.6377052489999999</v>
      </c>
      <c r="O34">
        <v>1.728605116</v>
      </c>
      <c r="P34">
        <v>1.7601790470000001</v>
      </c>
      <c r="Q34">
        <v>1.8144022500000001</v>
      </c>
      <c r="R34">
        <v>1.871564974</v>
      </c>
      <c r="S34">
        <v>1.89697432</v>
      </c>
      <c r="T34">
        <v>1.5656287179999999</v>
      </c>
      <c r="U34">
        <v>1.5936730830000001</v>
      </c>
      <c r="V34">
        <v>1.599381529</v>
      </c>
      <c r="W34">
        <v>1.5787931690000001</v>
      </c>
      <c r="X34">
        <v>1.586626302</v>
      </c>
      <c r="Y34">
        <v>1.5820102330000001</v>
      </c>
      <c r="Z34">
        <v>1.5937368220000001</v>
      </c>
      <c r="AA34">
        <v>1.6617865000000001</v>
      </c>
      <c r="AB34">
        <v>1.621415877</v>
      </c>
      <c r="AC34">
        <v>1.547041938</v>
      </c>
      <c r="AD34">
        <v>1.575044887</v>
      </c>
      <c r="AE34">
        <v>1.0922502780000001</v>
      </c>
      <c r="AF34">
        <v>1.227477049</v>
      </c>
      <c r="AG34">
        <v>1.4883770599999999</v>
      </c>
      <c r="AH34" s="1">
        <v>1.6353745337999999</v>
      </c>
    </row>
    <row r="35" spans="1:34" x14ac:dyDescent="0.2">
      <c r="A35" t="s">
        <v>10</v>
      </c>
      <c r="B35" t="s">
        <v>11</v>
      </c>
      <c r="C35" t="s">
        <v>10</v>
      </c>
      <c r="D35" t="s">
        <v>12</v>
      </c>
      <c r="E35" t="s">
        <v>13</v>
      </c>
      <c r="F35" t="s">
        <v>14</v>
      </c>
      <c r="G35" t="s">
        <v>28</v>
      </c>
      <c r="H35" t="s">
        <v>29</v>
      </c>
      <c r="I35" t="s">
        <v>19</v>
      </c>
      <c r="J35" t="s">
        <v>18</v>
      </c>
      <c r="K35">
        <v>39.2145698</v>
      </c>
      <c r="L35">
        <v>41.67982593</v>
      </c>
      <c r="M35">
        <v>43.926472330000003</v>
      </c>
      <c r="N35">
        <v>46.804507209999997</v>
      </c>
      <c r="O35">
        <v>48.783095029999998</v>
      </c>
      <c r="P35">
        <v>50.838609959999999</v>
      </c>
      <c r="Q35">
        <v>52.264922769999998</v>
      </c>
      <c r="R35">
        <v>55.405240040000002</v>
      </c>
      <c r="S35">
        <v>58.675507539999998</v>
      </c>
      <c r="T35">
        <v>64.199320920000005</v>
      </c>
      <c r="U35">
        <v>64.072594050000006</v>
      </c>
      <c r="V35">
        <v>64.764297769999999</v>
      </c>
      <c r="W35">
        <v>65.255506229999995</v>
      </c>
      <c r="X35">
        <v>65.265370630000007</v>
      </c>
      <c r="Y35">
        <v>65.005499830000005</v>
      </c>
      <c r="Z35">
        <v>65.042616719999998</v>
      </c>
      <c r="AA35">
        <v>65.005860929999997</v>
      </c>
      <c r="AB35">
        <v>65.044400120000006</v>
      </c>
      <c r="AC35">
        <v>64.842756519999995</v>
      </c>
      <c r="AD35">
        <v>64.921271039999993</v>
      </c>
      <c r="AE35">
        <v>69.597182520000004</v>
      </c>
      <c r="AF35">
        <v>72.133682160000006</v>
      </c>
      <c r="AG35">
        <v>73.338455510000003</v>
      </c>
      <c r="AH35" s="1">
        <v>0.40847289409802001</v>
      </c>
    </row>
    <row r="36" spans="1:34" x14ac:dyDescent="0.2">
      <c r="A36" t="s">
        <v>10</v>
      </c>
      <c r="B36" t="s">
        <v>11</v>
      </c>
      <c r="C36" t="s">
        <v>10</v>
      </c>
      <c r="D36" t="s">
        <v>12</v>
      </c>
      <c r="E36" t="s">
        <v>13</v>
      </c>
      <c r="F36" t="s">
        <v>14</v>
      </c>
      <c r="G36" t="s">
        <v>33</v>
      </c>
      <c r="H36" t="s">
        <v>35</v>
      </c>
      <c r="I36" t="s">
        <v>17</v>
      </c>
      <c r="J36" t="s">
        <v>18</v>
      </c>
      <c r="K36">
        <v>17.507665620000001</v>
      </c>
      <c r="L36">
        <v>17.375790259999999</v>
      </c>
      <c r="M36">
        <v>17.79466991</v>
      </c>
      <c r="N36">
        <v>18.091367269999999</v>
      </c>
      <c r="O36">
        <v>18.237429209999998</v>
      </c>
      <c r="P36">
        <v>18.47859644</v>
      </c>
      <c r="Q36">
        <v>18.760877440000002</v>
      </c>
      <c r="R36">
        <v>18.98627261</v>
      </c>
      <c r="S36">
        <v>19.366236390000001</v>
      </c>
      <c r="T36">
        <v>19.47247737</v>
      </c>
      <c r="U36">
        <v>19.7660293</v>
      </c>
      <c r="V36">
        <v>20.095596709999999</v>
      </c>
      <c r="W36">
        <v>20.344545589999999</v>
      </c>
      <c r="X36">
        <v>20.771366449999999</v>
      </c>
      <c r="Y36">
        <v>20.93014956</v>
      </c>
      <c r="Z36">
        <v>21.15443247</v>
      </c>
      <c r="AA36">
        <v>21.42410293</v>
      </c>
      <c r="AB36">
        <v>21.814051020000001</v>
      </c>
      <c r="AC36">
        <v>21.940678590000001</v>
      </c>
      <c r="AD36">
        <v>22.483808190000001</v>
      </c>
      <c r="AE36">
        <v>22.825966690000001</v>
      </c>
      <c r="AF36">
        <v>23.08074615</v>
      </c>
      <c r="AG36">
        <v>23.362826760000001</v>
      </c>
      <c r="AH36" s="1">
        <v>26.47650547750596</v>
      </c>
    </row>
    <row r="37" spans="1:34" x14ac:dyDescent="0.2">
      <c r="A37" t="s">
        <v>10</v>
      </c>
      <c r="B37" t="s">
        <v>11</v>
      </c>
      <c r="C37" t="s">
        <v>10</v>
      </c>
      <c r="D37" t="s">
        <v>12</v>
      </c>
      <c r="E37" t="s">
        <v>13</v>
      </c>
      <c r="F37" t="s">
        <v>14</v>
      </c>
      <c r="G37" t="s">
        <v>33</v>
      </c>
      <c r="H37" t="s">
        <v>35</v>
      </c>
      <c r="I37" t="s">
        <v>19</v>
      </c>
      <c r="J37" t="s">
        <v>18</v>
      </c>
      <c r="K37">
        <v>1.475054334</v>
      </c>
      <c r="L37">
        <v>1.4945921529999999</v>
      </c>
      <c r="M37">
        <v>1.5185204400000001</v>
      </c>
      <c r="N37">
        <v>1.53720437</v>
      </c>
      <c r="O37">
        <v>1.5569359970000001</v>
      </c>
      <c r="P37">
        <v>1.5838565929999999</v>
      </c>
      <c r="Q37">
        <v>1.6148765199999999</v>
      </c>
      <c r="R37">
        <v>1.6460698600000001</v>
      </c>
      <c r="S37">
        <v>1.6596385060000001</v>
      </c>
      <c r="T37">
        <v>1.6865491159999999</v>
      </c>
      <c r="U37">
        <v>1.70714956</v>
      </c>
      <c r="V37">
        <v>1.7388955829999999</v>
      </c>
      <c r="W37">
        <v>1.7723567579999999</v>
      </c>
      <c r="X37">
        <v>1.809707425</v>
      </c>
      <c r="Y37">
        <v>1.8491514790000001</v>
      </c>
      <c r="Z37">
        <v>1.8803128220000001</v>
      </c>
      <c r="AA37">
        <v>1.913475126</v>
      </c>
      <c r="AB37">
        <v>1.944305919</v>
      </c>
      <c r="AC37">
        <v>1.974892917</v>
      </c>
      <c r="AD37">
        <v>1.998589398</v>
      </c>
      <c r="AE37">
        <v>2.021878558</v>
      </c>
      <c r="AF37">
        <v>2.050191705</v>
      </c>
      <c r="AG37">
        <v>2.078901332</v>
      </c>
      <c r="AH37" s="1">
        <v>7.0524668096519996</v>
      </c>
    </row>
    <row r="38" spans="1:34" x14ac:dyDescent="0.2">
      <c r="A38" t="s">
        <v>10</v>
      </c>
      <c r="B38" t="s">
        <v>11</v>
      </c>
      <c r="C38" t="s">
        <v>10</v>
      </c>
      <c r="D38" t="s">
        <v>12</v>
      </c>
      <c r="E38" t="s">
        <v>13</v>
      </c>
      <c r="F38" t="s">
        <v>14</v>
      </c>
      <c r="G38" t="s">
        <v>28</v>
      </c>
      <c r="H38" t="s">
        <v>29</v>
      </c>
      <c r="I38" t="s">
        <v>31</v>
      </c>
      <c r="J38" t="s">
        <v>18</v>
      </c>
      <c r="K38">
        <v>0.17656812</v>
      </c>
      <c r="L38">
        <v>0.12638099999999999</v>
      </c>
      <c r="M38">
        <v>9.3120300000000003E-2</v>
      </c>
      <c r="N38">
        <v>3.6769919999999998E-2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s="1">
        <v>0</v>
      </c>
    </row>
    <row r="39" spans="1:34" x14ac:dyDescent="0.2">
      <c r="A39" t="s">
        <v>10</v>
      </c>
      <c r="B39" t="s">
        <v>11</v>
      </c>
      <c r="C39" t="s">
        <v>10</v>
      </c>
      <c r="D39" t="s">
        <v>12</v>
      </c>
      <c r="E39" t="s">
        <v>13</v>
      </c>
      <c r="F39" t="s">
        <v>14</v>
      </c>
      <c r="G39" t="s">
        <v>28</v>
      </c>
      <c r="H39" t="s">
        <v>29</v>
      </c>
      <c r="I39" t="s">
        <v>32</v>
      </c>
      <c r="J39" t="s">
        <v>18</v>
      </c>
      <c r="K39">
        <v>0.32966067900000001</v>
      </c>
      <c r="L39">
        <v>0.249556793</v>
      </c>
      <c r="M39">
        <v>0.28666066099999998</v>
      </c>
      <c r="N39">
        <v>0.28075200900000002</v>
      </c>
      <c r="O39">
        <v>0.215900069</v>
      </c>
      <c r="P39">
        <v>0.20367344300000001</v>
      </c>
      <c r="Q39">
        <v>0.18969491399999999</v>
      </c>
      <c r="R39">
        <v>0.20814638599999999</v>
      </c>
      <c r="S39">
        <v>0.21602285700000001</v>
      </c>
      <c r="T39">
        <v>0.223664329</v>
      </c>
      <c r="U39">
        <v>0.24164579999999999</v>
      </c>
      <c r="V39">
        <v>0.254656035</v>
      </c>
      <c r="W39">
        <v>0.265786246</v>
      </c>
      <c r="X39">
        <v>0.29250487600000002</v>
      </c>
      <c r="Y39">
        <v>0.36120517600000002</v>
      </c>
      <c r="Z39">
        <v>0.307341319</v>
      </c>
      <c r="AA39">
        <v>0.33457431799999998</v>
      </c>
      <c r="AB39">
        <v>0.37340332100000001</v>
      </c>
      <c r="AC39">
        <v>0.40376414599999999</v>
      </c>
      <c r="AD39">
        <v>0.435905088</v>
      </c>
      <c r="AE39">
        <v>0.46804603</v>
      </c>
      <c r="AF39">
        <v>0.50456856400000005</v>
      </c>
      <c r="AG39">
        <v>0.54423727600000005</v>
      </c>
      <c r="AH39" s="1">
        <v>0</v>
      </c>
    </row>
    <row r="41" spans="1:34" x14ac:dyDescent="0.2">
      <c r="G41" t="s">
        <v>15</v>
      </c>
      <c r="H41" t="s">
        <v>20</v>
      </c>
      <c r="I41" t="s">
        <v>17</v>
      </c>
      <c r="J41" t="s">
        <v>18</v>
      </c>
      <c r="K41">
        <f t="shared" ref="K41:AF41" si="0">+(L2/K2)*K2</f>
        <v>1.0829859399999999</v>
      </c>
      <c r="L41">
        <f t="shared" si="0"/>
        <v>1.027327989</v>
      </c>
      <c r="M41">
        <f t="shared" si="0"/>
        <v>1.104435928</v>
      </c>
      <c r="N41">
        <f t="shared" si="0"/>
        <v>1.123350149</v>
      </c>
      <c r="O41">
        <f t="shared" si="0"/>
        <v>1.0806276029999999</v>
      </c>
      <c r="P41">
        <f t="shared" si="0"/>
        <v>1.1700977180000001</v>
      </c>
      <c r="Q41">
        <f t="shared" si="0"/>
        <v>1.2084754870000001</v>
      </c>
      <c r="R41">
        <f t="shared" si="0"/>
        <v>1.162772508</v>
      </c>
      <c r="S41">
        <f t="shared" si="0"/>
        <v>1.0874963449999999</v>
      </c>
      <c r="T41">
        <f t="shared" si="0"/>
        <v>1.1083611600000001</v>
      </c>
      <c r="U41">
        <f t="shared" si="0"/>
        <v>0.97527182299999993</v>
      </c>
      <c r="V41">
        <f t="shared" si="0"/>
        <v>1.0605101880000001</v>
      </c>
      <c r="W41">
        <f t="shared" si="0"/>
        <v>1.1390925510000001</v>
      </c>
      <c r="X41">
        <f t="shared" si="0"/>
        <v>1.1791069329999999</v>
      </c>
      <c r="Y41">
        <f t="shared" si="0"/>
        <v>1.1435856419999999</v>
      </c>
      <c r="Z41">
        <f t="shared" si="0"/>
        <v>1.206758561</v>
      </c>
      <c r="AA41">
        <f t="shared" si="0"/>
        <v>1.192713645</v>
      </c>
      <c r="AB41">
        <f t="shared" si="0"/>
        <v>1.177333231</v>
      </c>
      <c r="AC41">
        <f t="shared" si="0"/>
        <v>1.164827217</v>
      </c>
      <c r="AD41">
        <f t="shared" si="0"/>
        <v>1.163562778</v>
      </c>
      <c r="AE41">
        <f t="shared" si="0"/>
        <v>1.145587178</v>
      </c>
      <c r="AF41">
        <f t="shared" si="0"/>
        <v>1.1447988490000001</v>
      </c>
      <c r="AG41">
        <f>+(AH2/AG2)*AG2</f>
        <v>0.75519857099999999</v>
      </c>
      <c r="AH41" s="1">
        <v>0.75519857099999999</v>
      </c>
    </row>
    <row r="42" spans="1:34" x14ac:dyDescent="0.2">
      <c r="G42" t="s">
        <v>15</v>
      </c>
      <c r="H42" t="s">
        <v>20</v>
      </c>
      <c r="I42" t="s">
        <v>21</v>
      </c>
      <c r="J42" t="s">
        <v>18</v>
      </c>
      <c r="K42">
        <f t="shared" ref="K42:AG42" si="1">+(L3/K3)*K3</f>
        <v>3.4618569710000004</v>
      </c>
      <c r="L42">
        <f t="shared" si="1"/>
        <v>2.6432474589999999</v>
      </c>
      <c r="M42">
        <f t="shared" si="1"/>
        <v>2.9180379240000005</v>
      </c>
      <c r="N42">
        <f t="shared" si="1"/>
        <v>2.9710474439999999</v>
      </c>
      <c r="O42">
        <f t="shared" si="1"/>
        <v>2.751780777</v>
      </c>
      <c r="P42">
        <f t="shared" si="1"/>
        <v>2.8074093699999993</v>
      </c>
      <c r="Q42">
        <f t="shared" si="1"/>
        <v>2.9097093199999997</v>
      </c>
      <c r="R42">
        <f t="shared" si="1"/>
        <v>2.7512569760000001</v>
      </c>
      <c r="S42">
        <f t="shared" si="1"/>
        <v>2.887028403</v>
      </c>
      <c r="T42">
        <f t="shared" si="1"/>
        <v>2.9123807590000004</v>
      </c>
      <c r="U42">
        <f t="shared" si="1"/>
        <v>2.8956188539999999</v>
      </c>
      <c r="V42">
        <f t="shared" si="1"/>
        <v>3.0443807559999998</v>
      </c>
      <c r="W42">
        <f t="shared" si="1"/>
        <v>3.5886188610000005</v>
      </c>
      <c r="X42">
        <f t="shared" si="1"/>
        <v>3.5285902739999999</v>
      </c>
      <c r="Y42">
        <f t="shared" si="1"/>
        <v>3.1466807879999998</v>
      </c>
      <c r="Z42">
        <f t="shared" si="1"/>
        <v>3.0398759769999999</v>
      </c>
      <c r="AA42">
        <f t="shared" si="1"/>
        <v>2.7618378689999998</v>
      </c>
      <c r="AB42">
        <f t="shared" si="1"/>
        <v>2.6264855090000001</v>
      </c>
      <c r="AC42">
        <f t="shared" si="1"/>
        <v>2.5561902829999998</v>
      </c>
      <c r="AD42">
        <f t="shared" si="1"/>
        <v>2.7674426170000004</v>
      </c>
      <c r="AE42">
        <f t="shared" si="1"/>
        <v>2.8501626019999997</v>
      </c>
      <c r="AF42">
        <f t="shared" si="1"/>
        <v>2.938055903</v>
      </c>
      <c r="AG42">
        <f t="shared" si="1"/>
        <v>1.6537809999999999</v>
      </c>
      <c r="AH42" s="1">
        <v>1.6537809999999999</v>
      </c>
    </row>
    <row r="43" spans="1:34" x14ac:dyDescent="0.2">
      <c r="G43" t="s">
        <v>22</v>
      </c>
      <c r="H43" t="s">
        <v>23</v>
      </c>
      <c r="I43" t="s">
        <v>17</v>
      </c>
      <c r="J43" t="s">
        <v>18</v>
      </c>
      <c r="K43">
        <f t="shared" ref="K43:AG43" si="2">+(L4/K4)*K4</f>
        <v>2.3123154110000002</v>
      </c>
      <c r="L43">
        <f t="shared" si="2"/>
        <v>2.3051987289999998</v>
      </c>
      <c r="M43">
        <f t="shared" si="2"/>
        <v>2.3099692959999998</v>
      </c>
      <c r="N43">
        <f t="shared" si="2"/>
        <v>2.3085779739999999</v>
      </c>
      <c r="O43">
        <f t="shared" si="2"/>
        <v>2.305447043</v>
      </c>
      <c r="P43">
        <f t="shared" si="2"/>
        <v>2.2916509610000002</v>
      </c>
      <c r="Q43">
        <f t="shared" si="2"/>
        <v>2.2790901689999998</v>
      </c>
      <c r="R43">
        <f t="shared" si="2"/>
        <v>2.2695557430000002</v>
      </c>
      <c r="S43">
        <f t="shared" si="2"/>
        <v>2.255970295</v>
      </c>
      <c r="T43">
        <f t="shared" si="2"/>
        <v>2.245912229</v>
      </c>
      <c r="U43">
        <f t="shared" si="2"/>
        <v>2.2353426719999998</v>
      </c>
      <c r="V43">
        <f t="shared" si="2"/>
        <v>2.2256063190000002</v>
      </c>
      <c r="W43">
        <f t="shared" si="2"/>
        <v>2.211603626</v>
      </c>
      <c r="X43">
        <f t="shared" si="2"/>
        <v>2.2012045389999999</v>
      </c>
      <c r="Y43">
        <f t="shared" si="2"/>
        <v>2.1909751499999999</v>
      </c>
      <c r="Z43">
        <f t="shared" si="2"/>
        <v>2.1781630609999998</v>
      </c>
      <c r="AA43">
        <f t="shared" si="2"/>
        <v>2.1671773600000002</v>
      </c>
      <c r="AB43">
        <f t="shared" si="2"/>
        <v>2.155455028</v>
      </c>
      <c r="AC43">
        <f t="shared" si="2"/>
        <v>2.1418639960000001</v>
      </c>
      <c r="AD43">
        <f t="shared" si="2"/>
        <v>1.8841872770000001</v>
      </c>
      <c r="AE43">
        <f t="shared" si="2"/>
        <v>1.8444510350000001</v>
      </c>
      <c r="AF43">
        <f t="shared" si="2"/>
        <v>1.856098547</v>
      </c>
      <c r="AG43">
        <f t="shared" si="2"/>
        <v>0.35682214000000001</v>
      </c>
      <c r="AH43" s="1">
        <v>0.35682214000000001</v>
      </c>
    </row>
    <row r="44" spans="1:34" x14ac:dyDescent="0.2">
      <c r="G44" t="s">
        <v>22</v>
      </c>
      <c r="H44" t="s">
        <v>23</v>
      </c>
      <c r="I44" t="s">
        <v>21</v>
      </c>
      <c r="J44" t="s">
        <v>18</v>
      </c>
      <c r="K44">
        <f t="shared" ref="K44:AG44" si="3">+(L5/K5)*K5</f>
        <v>32.268378890000001</v>
      </c>
      <c r="L44">
        <f t="shared" si="3"/>
        <v>32.229409130000001</v>
      </c>
      <c r="M44">
        <f t="shared" si="3"/>
        <v>31.50439132</v>
      </c>
      <c r="N44">
        <f t="shared" si="3"/>
        <v>32.385298130000002</v>
      </c>
      <c r="O44">
        <f t="shared" si="3"/>
        <v>31.85394681</v>
      </c>
      <c r="P44">
        <f t="shared" si="3"/>
        <v>32.70144586</v>
      </c>
      <c r="Q44">
        <f t="shared" si="3"/>
        <v>32.327325799999997</v>
      </c>
      <c r="R44">
        <f t="shared" si="3"/>
        <v>32.605838439999999</v>
      </c>
      <c r="S44">
        <f t="shared" si="3"/>
        <v>31.76067218</v>
      </c>
      <c r="T44">
        <f t="shared" si="3"/>
        <v>32.327038190000003</v>
      </c>
      <c r="U44">
        <f t="shared" si="3"/>
        <v>32.288806919999999</v>
      </c>
      <c r="V44">
        <f t="shared" si="3"/>
        <v>33.131557729999997</v>
      </c>
      <c r="W44">
        <f t="shared" si="3"/>
        <v>31.6853011</v>
      </c>
      <c r="X44">
        <f t="shared" si="3"/>
        <v>31.877326399999998</v>
      </c>
      <c r="Y44">
        <f t="shared" si="3"/>
        <v>32.285136950000002</v>
      </c>
      <c r="Z44">
        <f t="shared" si="3"/>
        <v>31.619512570000001</v>
      </c>
      <c r="AA44">
        <f t="shared" si="3"/>
        <v>31.56248119</v>
      </c>
      <c r="AB44">
        <f t="shared" si="3"/>
        <v>31.268368710000001</v>
      </c>
      <c r="AC44">
        <f t="shared" si="3"/>
        <v>29.756256830000002</v>
      </c>
      <c r="AD44">
        <f t="shared" si="3"/>
        <v>25.105524160000002</v>
      </c>
      <c r="AE44">
        <f t="shared" si="3"/>
        <v>28.014739809999995</v>
      </c>
      <c r="AF44">
        <f t="shared" si="3"/>
        <v>33.64016419</v>
      </c>
      <c r="AG44">
        <f t="shared" si="3"/>
        <v>34.987387559999995</v>
      </c>
      <c r="AH44" s="1">
        <v>34.987387560000002</v>
      </c>
    </row>
    <row r="45" spans="1:34" x14ac:dyDescent="0.2">
      <c r="G45" t="s">
        <v>22</v>
      </c>
      <c r="H45" t="s">
        <v>23</v>
      </c>
      <c r="I45" t="s">
        <v>19</v>
      </c>
      <c r="J45" t="s">
        <v>18</v>
      </c>
      <c r="K45">
        <f t="shared" ref="K45:AG45" si="4">+(L6/K6)*K6</f>
        <v>0.90025455499999996</v>
      </c>
      <c r="L45">
        <f t="shared" si="4"/>
        <v>0.88197662399999999</v>
      </c>
      <c r="M45">
        <f t="shared" si="4"/>
        <v>0.92397576999999997</v>
      </c>
      <c r="N45">
        <f t="shared" si="4"/>
        <v>0.96096996599999995</v>
      </c>
      <c r="O45">
        <f t="shared" si="4"/>
        <v>0.9994827220000001</v>
      </c>
      <c r="P45">
        <f t="shared" si="4"/>
        <v>1.0542542079999999</v>
      </c>
      <c r="Q45">
        <f t="shared" si="4"/>
        <v>1.0912340330000001</v>
      </c>
      <c r="R45">
        <f t="shared" si="4"/>
        <v>1.1179740979999999</v>
      </c>
      <c r="S45">
        <f t="shared" si="4"/>
        <v>1.136079751</v>
      </c>
      <c r="T45">
        <f t="shared" si="4"/>
        <v>1.1275782539999999</v>
      </c>
      <c r="U45">
        <f t="shared" si="4"/>
        <v>1.1565199610000001</v>
      </c>
      <c r="V45">
        <f t="shared" si="4"/>
        <v>1.213358363</v>
      </c>
      <c r="W45">
        <f t="shared" si="4"/>
        <v>1.15564698</v>
      </c>
      <c r="X45">
        <f t="shared" si="4"/>
        <v>1.1544305880000001</v>
      </c>
      <c r="Y45">
        <f t="shared" si="4"/>
        <v>1.227306494</v>
      </c>
      <c r="Z45">
        <f t="shared" si="4"/>
        <v>1.244504453</v>
      </c>
      <c r="AA45">
        <f t="shared" si="4"/>
        <v>1.2628521049999999</v>
      </c>
      <c r="AB45">
        <f t="shared" si="4"/>
        <v>1.295378412</v>
      </c>
      <c r="AC45">
        <f t="shared" si="4"/>
        <v>1.2226030109999999</v>
      </c>
      <c r="AD45">
        <f t="shared" si="4"/>
        <v>0.81400474599999995</v>
      </c>
      <c r="AE45">
        <f t="shared" si="4"/>
        <v>0.8795629009999999</v>
      </c>
      <c r="AF45">
        <f t="shared" si="4"/>
        <v>1.020252312</v>
      </c>
      <c r="AG45">
        <f t="shared" si="4"/>
        <v>0.36548295000000003</v>
      </c>
      <c r="AH45" s="1">
        <v>0.36548295000000003</v>
      </c>
    </row>
    <row r="46" spans="1:34" x14ac:dyDescent="0.2">
      <c r="G46" t="s">
        <v>22</v>
      </c>
      <c r="H46" t="s">
        <v>24</v>
      </c>
      <c r="I46" t="s">
        <v>17</v>
      </c>
      <c r="J46" t="s">
        <v>18</v>
      </c>
      <c r="K46">
        <f t="shared" ref="K46:AG46" si="5">+(L7/K7)*K7</f>
        <v>9.8955368999999987E-2</v>
      </c>
      <c r="L46">
        <f t="shared" si="5"/>
        <v>0.101981505</v>
      </c>
      <c r="M46">
        <f t="shared" si="5"/>
        <v>0.11268140400000001</v>
      </c>
      <c r="N46">
        <f t="shared" si="5"/>
        <v>0.11407915799999999</v>
      </c>
      <c r="O46">
        <f t="shared" si="5"/>
        <v>0.114597115</v>
      </c>
      <c r="P46">
        <f t="shared" si="5"/>
        <v>0.11568717000000001</v>
      </c>
      <c r="Q46">
        <f t="shared" si="5"/>
        <v>0.12596132299999999</v>
      </c>
      <c r="R46">
        <f t="shared" si="5"/>
        <v>0.12096484300000002</v>
      </c>
      <c r="S46">
        <f t="shared" si="5"/>
        <v>0.117173549</v>
      </c>
      <c r="T46">
        <f t="shared" si="5"/>
        <v>0.12625841099999999</v>
      </c>
      <c r="U46">
        <f t="shared" si="5"/>
        <v>0.124278004</v>
      </c>
      <c r="V46">
        <f t="shared" si="5"/>
        <v>0.143472399</v>
      </c>
      <c r="W46">
        <f t="shared" si="5"/>
        <v>0.14437536200000001</v>
      </c>
      <c r="X46">
        <f t="shared" si="5"/>
        <v>0.15724637</v>
      </c>
      <c r="Y46">
        <f t="shared" si="5"/>
        <v>0.15951510699999996</v>
      </c>
      <c r="Z46">
        <f t="shared" si="5"/>
        <v>0.16608856299999999</v>
      </c>
      <c r="AA46">
        <f t="shared" si="5"/>
        <v>0.17929931800000001</v>
      </c>
      <c r="AB46">
        <f t="shared" si="5"/>
        <v>0.18116662800000002</v>
      </c>
      <c r="AC46">
        <f t="shared" si="5"/>
        <v>0.16351268899999999</v>
      </c>
      <c r="AD46">
        <f t="shared" si="5"/>
        <v>0.156665638</v>
      </c>
      <c r="AE46">
        <f t="shared" si="5"/>
        <v>0.15282957</v>
      </c>
      <c r="AF46">
        <f t="shared" si="5"/>
        <v>0.15611276900000001</v>
      </c>
      <c r="AG46">
        <f t="shared" si="5"/>
        <v>0.11945166299999999</v>
      </c>
      <c r="AH46" s="1">
        <v>0.119451663</v>
      </c>
    </row>
    <row r="47" spans="1:34" x14ac:dyDescent="0.2">
      <c r="G47" t="s">
        <v>22</v>
      </c>
      <c r="H47" t="s">
        <v>24</v>
      </c>
      <c r="I47" t="s">
        <v>21</v>
      </c>
      <c r="J47" t="s">
        <v>18</v>
      </c>
      <c r="K47">
        <f t="shared" ref="K47:AG47" si="6">+(L8/K8)*K8</f>
        <v>124.9980436</v>
      </c>
      <c r="L47">
        <f t="shared" si="6"/>
        <v>126.19224939999998</v>
      </c>
      <c r="M47">
        <f t="shared" si="6"/>
        <v>132.7691399</v>
      </c>
      <c r="N47">
        <f t="shared" si="6"/>
        <v>127.8172988</v>
      </c>
      <c r="O47">
        <f t="shared" si="6"/>
        <v>134.84995509999999</v>
      </c>
      <c r="P47">
        <f t="shared" si="6"/>
        <v>133.3341369</v>
      </c>
      <c r="Q47">
        <f t="shared" si="6"/>
        <v>137.68995319999999</v>
      </c>
      <c r="R47">
        <f t="shared" si="6"/>
        <v>130.13404629999999</v>
      </c>
      <c r="S47">
        <f t="shared" si="6"/>
        <v>136.99659130000001</v>
      </c>
      <c r="T47">
        <f t="shared" si="6"/>
        <v>138.39785359999999</v>
      </c>
      <c r="U47">
        <f t="shared" si="6"/>
        <v>147.2301367</v>
      </c>
      <c r="V47">
        <f t="shared" si="6"/>
        <v>153.94154180000001</v>
      </c>
      <c r="W47">
        <f t="shared" si="6"/>
        <v>144.67356380000001</v>
      </c>
      <c r="X47">
        <f t="shared" si="6"/>
        <v>139.92327829999999</v>
      </c>
      <c r="Y47">
        <f t="shared" si="6"/>
        <v>143.05078119999999</v>
      </c>
      <c r="Z47">
        <f t="shared" si="6"/>
        <v>149.4616978</v>
      </c>
      <c r="AA47">
        <f t="shared" si="6"/>
        <v>153.71958599999999</v>
      </c>
      <c r="AB47">
        <f t="shared" si="6"/>
        <v>142.3862441</v>
      </c>
      <c r="AC47">
        <f t="shared" si="6"/>
        <v>139.7619813</v>
      </c>
      <c r="AD47">
        <f t="shared" si="6"/>
        <v>125.37340210000001</v>
      </c>
      <c r="AE47">
        <f t="shared" si="6"/>
        <v>119.2194059</v>
      </c>
      <c r="AF47">
        <f t="shared" si="6"/>
        <v>129.460961</v>
      </c>
      <c r="AG47">
        <f t="shared" si="6"/>
        <v>158.25285694199997</v>
      </c>
      <c r="AH47" s="1">
        <v>158.25285694199997</v>
      </c>
    </row>
    <row r="48" spans="1:34" x14ac:dyDescent="0.2">
      <c r="G48" t="s">
        <v>28</v>
      </c>
      <c r="H48" t="s">
        <v>29</v>
      </c>
      <c r="I48" t="s">
        <v>17</v>
      </c>
      <c r="J48" t="s">
        <v>18</v>
      </c>
      <c r="K48">
        <f t="shared" ref="K48:AG48" si="7">+(L9/K9)*K9</f>
        <v>6.5382724000000003E-2</v>
      </c>
      <c r="L48">
        <f t="shared" si="7"/>
        <v>6.6311413E-2</v>
      </c>
      <c r="M48">
        <f t="shared" si="7"/>
        <v>7.0119944000000003E-2</v>
      </c>
      <c r="N48">
        <f t="shared" si="7"/>
        <v>6.9602847999999995E-2</v>
      </c>
      <c r="O48">
        <f t="shared" si="7"/>
        <v>6.5773413000000003E-2</v>
      </c>
      <c r="P48">
        <f t="shared" si="7"/>
        <v>6.6449803000000016E-2</v>
      </c>
      <c r="Q48">
        <f t="shared" si="7"/>
        <v>5.8657524000000003E-2</v>
      </c>
      <c r="R48">
        <f t="shared" si="7"/>
        <v>6.5514906999999997E-2</v>
      </c>
      <c r="S48">
        <f t="shared" si="7"/>
        <v>5.5957964999999998E-2</v>
      </c>
      <c r="T48">
        <f t="shared" si="7"/>
        <v>6.6683927000000004E-2</v>
      </c>
      <c r="U48">
        <f t="shared" si="7"/>
        <v>7.5598145000000005E-2</v>
      </c>
      <c r="V48">
        <f t="shared" si="7"/>
        <v>7.5380864000000006E-2</v>
      </c>
      <c r="W48">
        <f t="shared" si="7"/>
        <v>7.5794760000000003E-2</v>
      </c>
      <c r="X48">
        <f t="shared" si="7"/>
        <v>7.7110937000000004E-2</v>
      </c>
      <c r="Y48">
        <f t="shared" si="7"/>
        <v>7.4165182999999996E-2</v>
      </c>
      <c r="Z48">
        <f t="shared" si="7"/>
        <v>6.8581441000000007E-2</v>
      </c>
      <c r="AA48">
        <f t="shared" si="7"/>
        <v>7.0588696000000006E-2</v>
      </c>
      <c r="AB48">
        <f t="shared" si="7"/>
        <v>7.3209927999999994E-2</v>
      </c>
      <c r="AC48">
        <f t="shared" si="7"/>
        <v>8.1518850999999989E-2</v>
      </c>
      <c r="AD48">
        <f t="shared" si="7"/>
        <v>8.5016123999999998E-2</v>
      </c>
      <c r="AE48">
        <f t="shared" si="7"/>
        <v>8.9771551000000019E-2</v>
      </c>
      <c r="AF48">
        <f t="shared" si="7"/>
        <v>9.0519201999999979E-2</v>
      </c>
      <c r="AG48">
        <f t="shared" si="7"/>
        <v>0.175621581</v>
      </c>
      <c r="AH48" s="1">
        <v>0.175621581</v>
      </c>
    </row>
    <row r="49" spans="7:34" x14ac:dyDescent="0.2">
      <c r="G49" t="s">
        <v>33</v>
      </c>
      <c r="H49" t="s">
        <v>34</v>
      </c>
      <c r="I49" t="s">
        <v>17</v>
      </c>
      <c r="J49" t="s">
        <v>18</v>
      </c>
      <c r="K49">
        <f t="shared" ref="K49:AG51" si="8">+(L10/K10)*K10</f>
        <v>41.93273374999999</v>
      </c>
      <c r="L49">
        <f t="shared" si="8"/>
        <v>42.623747659999999</v>
      </c>
      <c r="M49">
        <f t="shared" si="8"/>
        <v>43.429158429999994</v>
      </c>
      <c r="N49">
        <f t="shared" si="8"/>
        <v>44.468495859999997</v>
      </c>
      <c r="O49">
        <f t="shared" si="8"/>
        <v>45.461173320000007</v>
      </c>
      <c r="P49">
        <f t="shared" si="8"/>
        <v>46.671885199999998</v>
      </c>
      <c r="Q49">
        <f t="shared" si="8"/>
        <v>46.070608759999999</v>
      </c>
      <c r="R49">
        <f t="shared" si="8"/>
        <v>45.50145097</v>
      </c>
      <c r="S49">
        <f t="shared" si="8"/>
        <v>45.888812270000003</v>
      </c>
      <c r="T49">
        <f t="shared" si="8"/>
        <v>47.121576040000001</v>
      </c>
      <c r="U49">
        <f t="shared" si="8"/>
        <v>48.302226339999997</v>
      </c>
      <c r="V49">
        <f t="shared" si="8"/>
        <v>49.54733075</v>
      </c>
      <c r="W49">
        <f t="shared" si="8"/>
        <v>50.566058099999992</v>
      </c>
      <c r="X49">
        <f t="shared" si="8"/>
        <v>51.687190480000005</v>
      </c>
      <c r="Y49">
        <f t="shared" si="8"/>
        <v>52.882525049999998</v>
      </c>
      <c r="Z49">
        <f t="shared" si="8"/>
        <v>53.964676219999994</v>
      </c>
      <c r="AA49">
        <f t="shared" si="8"/>
        <v>54.950661749999995</v>
      </c>
      <c r="AB49">
        <f t="shared" si="8"/>
        <v>55.91886246</v>
      </c>
      <c r="AC49">
        <f t="shared" si="8"/>
        <v>56.945587619999998</v>
      </c>
      <c r="AD49">
        <f t="shared" si="8"/>
        <v>57.99120147</v>
      </c>
      <c r="AE49">
        <f t="shared" si="8"/>
        <v>59.006134830000008</v>
      </c>
      <c r="AF49">
        <f t="shared" si="8"/>
        <v>60.038853160000002</v>
      </c>
      <c r="AG49">
        <f t="shared" si="8"/>
        <v>34.569502207500001</v>
      </c>
      <c r="AH49" s="1">
        <v>34.569502207500001</v>
      </c>
    </row>
    <row r="50" spans="7:34" x14ac:dyDescent="0.2">
      <c r="G50" t="s">
        <v>33</v>
      </c>
      <c r="H50" t="s">
        <v>34</v>
      </c>
      <c r="I50" t="s">
        <v>21</v>
      </c>
      <c r="J50" t="s">
        <v>18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s="1">
        <v>0</v>
      </c>
    </row>
    <row r="51" spans="7:34" x14ac:dyDescent="0.2">
      <c r="G51" t="s">
        <v>36</v>
      </c>
      <c r="H51" t="s">
        <v>41</v>
      </c>
      <c r="I51" t="s">
        <v>21</v>
      </c>
      <c r="J51" t="s">
        <v>18</v>
      </c>
      <c r="K51">
        <f t="shared" si="8"/>
        <v>10.118</v>
      </c>
      <c r="L51">
        <f t="shared" si="8"/>
        <v>10.118</v>
      </c>
      <c r="M51">
        <f t="shared" si="8"/>
        <v>10.118</v>
      </c>
      <c r="N51">
        <f t="shared" si="8"/>
        <v>10.118</v>
      </c>
      <c r="O51">
        <f t="shared" si="8"/>
        <v>10.118</v>
      </c>
      <c r="P51">
        <f t="shared" si="8"/>
        <v>10.118</v>
      </c>
      <c r="Q51">
        <f t="shared" si="8"/>
        <v>10.118</v>
      </c>
      <c r="R51">
        <f t="shared" si="8"/>
        <v>12.741</v>
      </c>
      <c r="S51">
        <f t="shared" si="8"/>
        <v>19.318000000000001</v>
      </c>
      <c r="T51">
        <f t="shared" si="8"/>
        <v>13.462999999999999</v>
      </c>
      <c r="U51">
        <f t="shared" si="8"/>
        <v>19.527000000000001</v>
      </c>
      <c r="V51">
        <f t="shared" si="8"/>
        <v>19.077999999999999</v>
      </c>
      <c r="W51">
        <f t="shared" si="8"/>
        <v>20.550000000000004</v>
      </c>
      <c r="X51">
        <f t="shared" si="8"/>
        <v>25.824000000000002</v>
      </c>
      <c r="Y51">
        <f t="shared" si="8"/>
        <v>21.673999999999999</v>
      </c>
      <c r="Z51">
        <f t="shared" si="8"/>
        <v>21.673999999999999</v>
      </c>
      <c r="AA51">
        <f t="shared" si="8"/>
        <v>21.673999999999999</v>
      </c>
      <c r="AB51">
        <f t="shared" si="8"/>
        <v>21.673999999999999</v>
      </c>
      <c r="AC51">
        <f t="shared" si="8"/>
        <v>21.673999999999999</v>
      </c>
      <c r="AD51">
        <f t="shared" si="8"/>
        <v>21.673999999999999</v>
      </c>
      <c r="AE51">
        <f t="shared" si="8"/>
        <v>21.673999999999999</v>
      </c>
      <c r="AF51">
        <f t="shared" si="8"/>
        <v>21.673999999999999</v>
      </c>
      <c r="AG51">
        <f t="shared" si="8"/>
        <v>11.4864616431</v>
      </c>
      <c r="AH51" s="1">
        <v>11.4864616431</v>
      </c>
    </row>
    <row r="52" spans="7:34" x14ac:dyDescent="0.2">
      <c r="G52" t="s">
        <v>15</v>
      </c>
      <c r="H52" t="s">
        <v>20</v>
      </c>
      <c r="I52" t="s">
        <v>19</v>
      </c>
      <c r="J52" t="s">
        <v>18</v>
      </c>
      <c r="K52">
        <f t="shared" ref="K52:AG52" si="9">+(L13/K13)*K13</f>
        <v>23.942421589999999</v>
      </c>
      <c r="L52">
        <f t="shared" si="9"/>
        <v>23.205936300000001</v>
      </c>
      <c r="M52">
        <f t="shared" si="9"/>
        <v>23.512725360000001</v>
      </c>
      <c r="N52">
        <f t="shared" si="9"/>
        <v>23.433691620000001</v>
      </c>
      <c r="O52">
        <f t="shared" si="9"/>
        <v>23.03445992</v>
      </c>
      <c r="P52">
        <f t="shared" si="9"/>
        <v>23.018968860000001</v>
      </c>
      <c r="Q52">
        <f t="shared" si="9"/>
        <v>23.996837209999999</v>
      </c>
      <c r="R52">
        <f t="shared" si="9"/>
        <v>23.370014999999999</v>
      </c>
      <c r="S52">
        <f t="shared" si="9"/>
        <v>23.726224040000002</v>
      </c>
      <c r="T52">
        <f t="shared" si="9"/>
        <v>24.284862520000004</v>
      </c>
      <c r="U52">
        <f t="shared" si="9"/>
        <v>24.19286718</v>
      </c>
      <c r="V52">
        <f t="shared" si="9"/>
        <v>24.241948659999998</v>
      </c>
      <c r="W52">
        <f t="shared" si="9"/>
        <v>25.963166099999995</v>
      </c>
      <c r="X52">
        <f t="shared" si="9"/>
        <v>26.667177379999998</v>
      </c>
      <c r="Y52">
        <f t="shared" si="9"/>
        <v>25.807687529999999</v>
      </c>
      <c r="Z52">
        <f t="shared" si="9"/>
        <v>26.80263304</v>
      </c>
      <c r="AA52">
        <f t="shared" si="9"/>
        <v>26.963314329999999</v>
      </c>
      <c r="AB52">
        <f t="shared" si="9"/>
        <v>26.710940990000001</v>
      </c>
      <c r="AC52">
        <f t="shared" si="9"/>
        <v>26.958948540000002</v>
      </c>
      <c r="AD52">
        <f t="shared" si="9"/>
        <v>28.086871900000002</v>
      </c>
      <c r="AE52">
        <f t="shared" si="9"/>
        <v>28.638162869999999</v>
      </c>
      <c r="AF52">
        <f t="shared" si="9"/>
        <v>29.452257769999996</v>
      </c>
      <c r="AG52">
        <f t="shared" si="9"/>
        <v>20.602514499560996</v>
      </c>
      <c r="AH52" s="1">
        <v>20.602514499560996</v>
      </c>
    </row>
    <row r="53" spans="7:34" x14ac:dyDescent="0.2">
      <c r="G53" t="s">
        <v>22</v>
      </c>
      <c r="H53" t="s">
        <v>24</v>
      </c>
      <c r="I53" t="s">
        <v>19</v>
      </c>
      <c r="J53" t="s">
        <v>18</v>
      </c>
      <c r="K53">
        <f t="shared" ref="K53:AG53" si="10">+(L14/K14)*K14</f>
        <v>0.23067982400000003</v>
      </c>
      <c r="L53">
        <f t="shared" si="10"/>
        <v>0.23561320399999999</v>
      </c>
      <c r="M53">
        <f t="shared" si="10"/>
        <v>0.24749812299999999</v>
      </c>
      <c r="N53">
        <f t="shared" si="10"/>
        <v>0.22971223800000001</v>
      </c>
      <c r="O53">
        <f t="shared" si="10"/>
        <v>0.25940547800000002</v>
      </c>
      <c r="P53">
        <f t="shared" si="10"/>
        <v>0.245010687</v>
      </c>
      <c r="Q53">
        <f t="shared" si="10"/>
        <v>0.24812603</v>
      </c>
      <c r="R53">
        <f t="shared" si="10"/>
        <v>0.207845223</v>
      </c>
      <c r="S53">
        <f t="shared" si="10"/>
        <v>0.221636784</v>
      </c>
      <c r="T53">
        <f t="shared" si="10"/>
        <v>0.24057545499999999</v>
      </c>
      <c r="U53">
        <f t="shared" si="10"/>
        <v>0.24065237799999997</v>
      </c>
      <c r="V53">
        <f t="shared" si="10"/>
        <v>0.26606793699999998</v>
      </c>
      <c r="W53">
        <f t="shared" si="10"/>
        <v>0.25948502899999998</v>
      </c>
      <c r="X53">
        <f t="shared" si="10"/>
        <v>0.27674016099999998</v>
      </c>
      <c r="Y53">
        <f t="shared" si="10"/>
        <v>0.27271532399999998</v>
      </c>
      <c r="Z53">
        <f t="shared" si="10"/>
        <v>0.283417011</v>
      </c>
      <c r="AA53">
        <f t="shared" si="10"/>
        <v>0.28435456999999997</v>
      </c>
      <c r="AB53">
        <f t="shared" si="10"/>
        <v>0.276586475</v>
      </c>
      <c r="AC53">
        <f t="shared" si="10"/>
        <v>0.27160249800000003</v>
      </c>
      <c r="AD53">
        <f t="shared" si="10"/>
        <v>0.222153818</v>
      </c>
      <c r="AE53">
        <f t="shared" si="10"/>
        <v>0.201151106</v>
      </c>
      <c r="AF53">
        <f t="shared" si="10"/>
        <v>0.23347547299999996</v>
      </c>
      <c r="AG53">
        <f t="shared" si="10"/>
        <v>0.18478676699999999</v>
      </c>
      <c r="AH53" s="1">
        <v>0.18478676699999999</v>
      </c>
    </row>
    <row r="54" spans="7:34" x14ac:dyDescent="0.2">
      <c r="G54" t="s">
        <v>22</v>
      </c>
      <c r="H54" t="s">
        <v>25</v>
      </c>
      <c r="I54" t="s">
        <v>17</v>
      </c>
      <c r="J54" t="s">
        <v>18</v>
      </c>
      <c r="K54">
        <f t="shared" ref="K54:AG54" si="11">+(L15/K15)*K15</f>
        <v>34.509826840000002</v>
      </c>
      <c r="L54">
        <f t="shared" si="11"/>
        <v>33.056081370000001</v>
      </c>
      <c r="M54">
        <f t="shared" si="11"/>
        <v>36.001396139999997</v>
      </c>
      <c r="N54">
        <f t="shared" si="11"/>
        <v>34.966046429999999</v>
      </c>
      <c r="O54">
        <f t="shared" si="11"/>
        <v>36.171244000000002</v>
      </c>
      <c r="P54">
        <f t="shared" si="11"/>
        <v>39.397795090000002</v>
      </c>
      <c r="Q54">
        <f t="shared" si="11"/>
        <v>41.360318380000002</v>
      </c>
      <c r="R54">
        <f t="shared" si="11"/>
        <v>44.623624300000003</v>
      </c>
      <c r="S54">
        <f t="shared" si="11"/>
        <v>41.817096509999999</v>
      </c>
      <c r="T54">
        <f t="shared" si="11"/>
        <v>39.694177830000001</v>
      </c>
      <c r="U54">
        <f t="shared" si="11"/>
        <v>40.215978720000003</v>
      </c>
      <c r="V54">
        <f t="shared" si="11"/>
        <v>37.938341729999998</v>
      </c>
      <c r="W54">
        <f t="shared" si="11"/>
        <v>37.36503768</v>
      </c>
      <c r="X54">
        <f t="shared" si="11"/>
        <v>34.723739250000001</v>
      </c>
      <c r="Y54">
        <f t="shared" si="11"/>
        <v>32.196337280000002</v>
      </c>
      <c r="Z54">
        <f t="shared" si="11"/>
        <v>30.324639999999999</v>
      </c>
      <c r="AA54">
        <f t="shared" si="11"/>
        <v>27.30995558</v>
      </c>
      <c r="AB54">
        <f t="shared" si="11"/>
        <v>26.818727330000002</v>
      </c>
      <c r="AC54">
        <f t="shared" si="11"/>
        <v>25.53013309</v>
      </c>
      <c r="AD54">
        <f t="shared" si="11"/>
        <v>25.685318850000002</v>
      </c>
      <c r="AE54">
        <f t="shared" si="11"/>
        <v>25.375439480000001</v>
      </c>
      <c r="AF54">
        <f t="shared" si="11"/>
        <v>26.074541719999999</v>
      </c>
      <c r="AG54">
        <f t="shared" si="11"/>
        <v>19.069988526210004</v>
      </c>
      <c r="AH54" s="1">
        <v>19.069988526210004</v>
      </c>
    </row>
    <row r="55" spans="7:34" x14ac:dyDescent="0.2">
      <c r="G55" t="s">
        <v>22</v>
      </c>
      <c r="H55" t="s">
        <v>25</v>
      </c>
      <c r="I55" t="s">
        <v>21</v>
      </c>
      <c r="J55" t="s">
        <v>18</v>
      </c>
      <c r="K55">
        <f t="shared" ref="K55:AG55" si="12">+(L16/K16)*K16</f>
        <v>53.515796590000001</v>
      </c>
      <c r="L55">
        <f t="shared" si="12"/>
        <v>53.487317320000002</v>
      </c>
      <c r="M55">
        <f t="shared" si="12"/>
        <v>59.264539319999997</v>
      </c>
      <c r="N55">
        <f t="shared" si="12"/>
        <v>61.272798470000005</v>
      </c>
      <c r="O55">
        <f t="shared" si="12"/>
        <v>61.601749950000006</v>
      </c>
      <c r="P55">
        <f t="shared" si="12"/>
        <v>62.698106530000004</v>
      </c>
      <c r="Q55">
        <f t="shared" si="12"/>
        <v>62.389783790000003</v>
      </c>
      <c r="R55">
        <f t="shared" si="12"/>
        <v>64.359301810000005</v>
      </c>
      <c r="S55">
        <f t="shared" si="12"/>
        <v>63.45719407</v>
      </c>
      <c r="T55">
        <f t="shared" si="12"/>
        <v>63.69342932</v>
      </c>
      <c r="U55">
        <f t="shared" si="12"/>
        <v>62.752436709999998</v>
      </c>
      <c r="V55">
        <f t="shared" si="12"/>
        <v>68.140431419999999</v>
      </c>
      <c r="W55">
        <f t="shared" si="12"/>
        <v>66.655719289999993</v>
      </c>
      <c r="X55">
        <f t="shared" si="12"/>
        <v>62.999435179999999</v>
      </c>
      <c r="Y55">
        <f t="shared" si="12"/>
        <v>61.518355700000001</v>
      </c>
      <c r="Z55">
        <f t="shared" si="12"/>
        <v>56.955495310000003</v>
      </c>
      <c r="AA55">
        <f t="shared" si="12"/>
        <v>49.129079730000001</v>
      </c>
      <c r="AB55">
        <f t="shared" si="12"/>
        <v>52.99687938000001</v>
      </c>
      <c r="AC55">
        <f t="shared" si="12"/>
        <v>57.411955060000004</v>
      </c>
      <c r="AD55">
        <f t="shared" si="12"/>
        <v>57.468671049999998</v>
      </c>
      <c r="AE55">
        <f t="shared" si="12"/>
        <v>60.569615049999996</v>
      </c>
      <c r="AF55">
        <f t="shared" si="12"/>
        <v>61.441516819999997</v>
      </c>
      <c r="AG55">
        <f t="shared" si="12"/>
        <v>18.549537345694002</v>
      </c>
      <c r="AH55" s="1">
        <v>18.549537345694002</v>
      </c>
    </row>
    <row r="56" spans="7:34" x14ac:dyDescent="0.2">
      <c r="G56" t="s">
        <v>22</v>
      </c>
      <c r="H56" t="s">
        <v>25</v>
      </c>
      <c r="I56" t="s">
        <v>19</v>
      </c>
      <c r="J56" t="s">
        <v>18</v>
      </c>
      <c r="K56">
        <f t="shared" ref="K56:AG56" si="13">+(L17/K17)*K17</f>
        <v>5.9053106000000001E-2</v>
      </c>
      <c r="L56">
        <f t="shared" si="13"/>
        <v>5.7043677000000001E-2</v>
      </c>
      <c r="M56">
        <f t="shared" si="13"/>
        <v>6.2626029999999999E-2</v>
      </c>
      <c r="N56">
        <f t="shared" si="13"/>
        <v>6.0964338999999999E-2</v>
      </c>
      <c r="O56">
        <f t="shared" si="13"/>
        <v>6.1242712999999997E-2</v>
      </c>
      <c r="P56">
        <f t="shared" si="13"/>
        <v>6.3395850000000004E-2</v>
      </c>
      <c r="Q56">
        <f t="shared" si="13"/>
        <v>6.5326276000000003E-2</v>
      </c>
      <c r="R56">
        <f t="shared" si="13"/>
        <v>7.0925086999999998E-2</v>
      </c>
      <c r="S56">
        <f t="shared" si="13"/>
        <v>6.6536347999999995E-2</v>
      </c>
      <c r="T56">
        <f t="shared" si="13"/>
        <v>6.4189437000000002E-2</v>
      </c>
      <c r="U56">
        <f t="shared" si="13"/>
        <v>5.9942255E-2</v>
      </c>
      <c r="V56">
        <f t="shared" si="13"/>
        <v>7.3869786000000007E-2</v>
      </c>
      <c r="W56">
        <f t="shared" si="13"/>
        <v>7.4722498000000012E-2</v>
      </c>
      <c r="X56">
        <f t="shared" si="13"/>
        <v>7.5672494000000007E-2</v>
      </c>
      <c r="Y56">
        <f t="shared" si="13"/>
        <v>7.4749217000000007E-2</v>
      </c>
      <c r="Z56">
        <f t="shared" si="13"/>
        <v>6.7790785000000006E-2</v>
      </c>
      <c r="AA56">
        <f t="shared" si="13"/>
        <v>5.7847917999999998E-2</v>
      </c>
      <c r="AB56">
        <f t="shared" si="13"/>
        <v>5.7240125000000003E-2</v>
      </c>
      <c r="AC56">
        <f t="shared" si="13"/>
        <v>6.2386116999999998E-2</v>
      </c>
      <c r="AD56">
        <f t="shared" si="13"/>
        <v>6.8713635999999995E-2</v>
      </c>
      <c r="AE56">
        <f t="shared" si="13"/>
        <v>7.5492628000000006E-2</v>
      </c>
      <c r="AF56">
        <f t="shared" si="13"/>
        <v>7.1320744000000005E-2</v>
      </c>
      <c r="AG56">
        <f t="shared" si="13"/>
        <v>8.5216782642399992E-3</v>
      </c>
      <c r="AH56" s="1">
        <v>8.5216782642399992E-3</v>
      </c>
    </row>
    <row r="57" spans="7:34" x14ac:dyDescent="0.2">
      <c r="G57" t="s">
        <v>22</v>
      </c>
      <c r="H57" t="s">
        <v>26</v>
      </c>
      <c r="I57" t="s">
        <v>17</v>
      </c>
      <c r="J57" t="s">
        <v>18</v>
      </c>
      <c r="K57">
        <f t="shared" ref="K57:AG57" si="14">+(L18/K18)*K18</f>
        <v>8.0841033000000007E-2</v>
      </c>
      <c r="L57">
        <f t="shared" si="14"/>
        <v>8.1291739000000002E-2</v>
      </c>
      <c r="M57">
        <f t="shared" si="14"/>
        <v>9.1993409000000012E-2</v>
      </c>
      <c r="N57">
        <f t="shared" si="14"/>
        <v>9.6071251999999996E-2</v>
      </c>
      <c r="O57">
        <f t="shared" si="14"/>
        <v>0.110754143</v>
      </c>
      <c r="P57">
        <f t="shared" si="14"/>
        <v>0.124952788</v>
      </c>
      <c r="Q57">
        <f t="shared" si="14"/>
        <v>0.10776204</v>
      </c>
      <c r="R57">
        <f t="shared" si="14"/>
        <v>0.117372384</v>
      </c>
      <c r="S57">
        <f t="shared" si="14"/>
        <v>8.5108817000000003E-2</v>
      </c>
      <c r="T57">
        <f t="shared" si="14"/>
        <v>0.104124123</v>
      </c>
      <c r="U57">
        <f t="shared" si="14"/>
        <v>0.119632899</v>
      </c>
      <c r="V57">
        <f t="shared" si="14"/>
        <v>9.6688707999999998E-2</v>
      </c>
      <c r="W57">
        <f t="shared" si="14"/>
        <v>0.12257697900000002</v>
      </c>
      <c r="X57">
        <f t="shared" si="14"/>
        <v>8.7655366999999998E-2</v>
      </c>
      <c r="Y57">
        <f t="shared" si="14"/>
        <v>0.10492122700000002</v>
      </c>
      <c r="Z57">
        <f t="shared" si="14"/>
        <v>8.6383877999999997E-2</v>
      </c>
      <c r="AA57">
        <f t="shared" si="14"/>
        <v>0.13487666200000001</v>
      </c>
      <c r="AB57">
        <f t="shared" si="14"/>
        <v>0.10552239299999999</v>
      </c>
      <c r="AC57">
        <f t="shared" si="14"/>
        <v>0.11244462400000001</v>
      </c>
      <c r="AD57">
        <f t="shared" si="14"/>
        <v>0.101222481</v>
      </c>
      <c r="AE57">
        <f t="shared" si="14"/>
        <v>9.8463547999999998E-2</v>
      </c>
      <c r="AF57">
        <f t="shared" si="14"/>
        <v>0.10717942900000001</v>
      </c>
      <c r="AG57">
        <f t="shared" si="14"/>
        <v>8.5116590228306102E-2</v>
      </c>
      <c r="AH57" s="1">
        <v>8.5116590228306102E-2</v>
      </c>
    </row>
    <row r="58" spans="7:34" x14ac:dyDescent="0.2">
      <c r="G58" t="s">
        <v>28</v>
      </c>
      <c r="H58" t="s">
        <v>29</v>
      </c>
      <c r="I58" t="s">
        <v>21</v>
      </c>
      <c r="J58" t="s">
        <v>18</v>
      </c>
      <c r="K58">
        <f t="shared" ref="K58:AG58" si="15">+(L19/K19)*K19</f>
        <v>24.237579029999999</v>
      </c>
      <c r="L58">
        <f t="shared" si="15"/>
        <v>24.48998035</v>
      </c>
      <c r="M58">
        <f t="shared" si="15"/>
        <v>25.018430439999999</v>
      </c>
      <c r="N58">
        <f t="shared" si="15"/>
        <v>26.324976900000003</v>
      </c>
      <c r="O58">
        <f t="shared" si="15"/>
        <v>26.787882400000004</v>
      </c>
      <c r="P58">
        <f t="shared" si="15"/>
        <v>28.350855580000001</v>
      </c>
      <c r="Q58">
        <f t="shared" si="15"/>
        <v>27.65205499</v>
      </c>
      <c r="R58">
        <f t="shared" si="15"/>
        <v>26.309208909999999</v>
      </c>
      <c r="S58">
        <f t="shared" si="15"/>
        <v>26.110410850000001</v>
      </c>
      <c r="T58">
        <f t="shared" si="15"/>
        <v>26.345019059999998</v>
      </c>
      <c r="U58">
        <f t="shared" si="15"/>
        <v>21.465715700000001</v>
      </c>
      <c r="V58">
        <f t="shared" si="15"/>
        <v>33.290346110000002</v>
      </c>
      <c r="W58">
        <f t="shared" si="15"/>
        <v>30.301973759999999</v>
      </c>
      <c r="X58">
        <f t="shared" si="15"/>
        <v>31.404874420000002</v>
      </c>
      <c r="Y58">
        <f t="shared" si="15"/>
        <v>32.832920139999999</v>
      </c>
      <c r="Z58">
        <f t="shared" si="15"/>
        <v>36.861651420000001</v>
      </c>
      <c r="AA58">
        <f t="shared" si="15"/>
        <v>41.54636017</v>
      </c>
      <c r="AB58">
        <f t="shared" si="15"/>
        <v>46.904941559999997</v>
      </c>
      <c r="AC58">
        <f t="shared" si="15"/>
        <v>46.31847587</v>
      </c>
      <c r="AD58">
        <f t="shared" si="15"/>
        <v>54.892747490000005</v>
      </c>
      <c r="AE58">
        <f t="shared" si="15"/>
        <v>59.65781819</v>
      </c>
      <c r="AF58">
        <f t="shared" si="15"/>
        <v>57.589810489999998</v>
      </c>
      <c r="AG58">
        <f t="shared" si="15"/>
        <v>43.775345066660542</v>
      </c>
      <c r="AH58" s="1">
        <v>43.775345066660542</v>
      </c>
    </row>
    <row r="59" spans="7:34" x14ac:dyDescent="0.2">
      <c r="G59" t="s">
        <v>33</v>
      </c>
      <c r="H59" t="s">
        <v>34</v>
      </c>
      <c r="I59" t="s">
        <v>19</v>
      </c>
      <c r="J59" t="s">
        <v>18</v>
      </c>
      <c r="K59">
        <f t="shared" ref="K59:AG62" si="16">+(L20/K20)*K20</f>
        <v>2.621745E-3</v>
      </c>
      <c r="L59">
        <f t="shared" si="16"/>
        <v>3.1059920000000006E-3</v>
      </c>
      <c r="M59">
        <f t="shared" si="16"/>
        <v>4.0316249999999996E-3</v>
      </c>
      <c r="N59">
        <f t="shared" si="16"/>
        <v>3.9796199999999997E-3</v>
      </c>
      <c r="O59">
        <f t="shared" si="16"/>
        <v>4.8103859999999998E-3</v>
      </c>
      <c r="P59">
        <f t="shared" si="16"/>
        <v>4.871579E-3</v>
      </c>
      <c r="Q59">
        <f t="shared" si="16"/>
        <v>4.8869960000000002E-3</v>
      </c>
      <c r="R59">
        <f t="shared" si="16"/>
        <v>8.3142670000000002E-3</v>
      </c>
      <c r="S59">
        <f t="shared" si="16"/>
        <v>8.9932680000000004E-3</v>
      </c>
      <c r="T59">
        <f t="shared" si="16"/>
        <v>1.0150049E-2</v>
      </c>
      <c r="U59">
        <f t="shared" si="16"/>
        <v>1.0377018999999999E-2</v>
      </c>
      <c r="V59">
        <f t="shared" si="16"/>
        <v>1.0481443999999999E-2</v>
      </c>
      <c r="W59">
        <f t="shared" si="16"/>
        <v>2.5909326999999999E-2</v>
      </c>
      <c r="X59">
        <f t="shared" si="16"/>
        <v>2.6363925999999999E-2</v>
      </c>
      <c r="Y59">
        <f t="shared" si="16"/>
        <v>2.6817567000000004E-2</v>
      </c>
      <c r="Z59">
        <f t="shared" si="16"/>
        <v>2.7267927000000001E-2</v>
      </c>
      <c r="AA59">
        <f t="shared" si="16"/>
        <v>2.7715271E-2</v>
      </c>
      <c r="AB59">
        <f t="shared" si="16"/>
        <v>2.8159338999999999E-2</v>
      </c>
      <c r="AC59">
        <f t="shared" si="16"/>
        <v>2.8600026000000001E-2</v>
      </c>
      <c r="AD59">
        <f t="shared" si="16"/>
        <v>2.9037302000000001E-2</v>
      </c>
      <c r="AE59">
        <f t="shared" si="16"/>
        <v>2.9481249000000005E-2</v>
      </c>
      <c r="AF59">
        <f t="shared" si="16"/>
        <v>2.9931982999999999E-2</v>
      </c>
      <c r="AG59">
        <f t="shared" si="16"/>
        <v>6.9906612599999987E-2</v>
      </c>
      <c r="AH59" s="1">
        <v>6.9906612599999987E-2</v>
      </c>
    </row>
    <row r="60" spans="7:34" x14ac:dyDescent="0.2">
      <c r="G60" t="s">
        <v>36</v>
      </c>
      <c r="H60" t="s">
        <v>38</v>
      </c>
      <c r="I60" t="s">
        <v>17</v>
      </c>
      <c r="J60" t="s">
        <v>18</v>
      </c>
      <c r="K60" s="1">
        <v>3.7369571842</v>
      </c>
      <c r="L60" s="1">
        <v>3.7369571842</v>
      </c>
      <c r="M60" s="1">
        <v>3.7369571842</v>
      </c>
      <c r="N60" s="1">
        <v>3.7369571842</v>
      </c>
      <c r="O60" s="1">
        <v>3.7369571842</v>
      </c>
      <c r="P60" s="1">
        <v>3.7369571842</v>
      </c>
      <c r="Q60" s="1">
        <v>3.7369571842</v>
      </c>
      <c r="R60" s="1">
        <v>3.7369571842</v>
      </c>
      <c r="S60" s="1">
        <v>3.7369571842</v>
      </c>
      <c r="T60" s="1">
        <v>3.7369571842</v>
      </c>
      <c r="U60" s="1">
        <v>3.7369571842</v>
      </c>
      <c r="V60" s="1">
        <v>3.7369571842</v>
      </c>
      <c r="W60" s="1">
        <v>3.7369571842</v>
      </c>
      <c r="X60" s="1">
        <v>3.7369571842</v>
      </c>
      <c r="Y60" s="1">
        <v>3.7369571842</v>
      </c>
      <c r="Z60" s="1">
        <v>3.7369571842</v>
      </c>
      <c r="AA60" s="1">
        <v>3.7369571842</v>
      </c>
      <c r="AB60" s="1">
        <v>3.7369571842</v>
      </c>
      <c r="AC60" s="1">
        <v>3.7369571842</v>
      </c>
      <c r="AD60" s="1">
        <v>3.7369571842</v>
      </c>
      <c r="AE60" s="1">
        <v>3.7369571842</v>
      </c>
      <c r="AF60" s="1">
        <v>3.7369571842</v>
      </c>
      <c r="AG60" s="1">
        <v>3.7369571842</v>
      </c>
      <c r="AH60" s="1">
        <v>3.7369571842</v>
      </c>
    </row>
    <row r="61" spans="7:34" x14ac:dyDescent="0.2">
      <c r="G61" t="s">
        <v>36</v>
      </c>
      <c r="H61" t="s">
        <v>39</v>
      </c>
      <c r="I61" t="s">
        <v>21</v>
      </c>
      <c r="J61" t="s">
        <v>18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7:34" x14ac:dyDescent="0.2">
      <c r="G62" t="s">
        <v>36</v>
      </c>
      <c r="H62" t="s">
        <v>37</v>
      </c>
      <c r="I62" t="s">
        <v>21</v>
      </c>
      <c r="J62" t="s">
        <v>18</v>
      </c>
      <c r="K62">
        <f t="shared" si="16"/>
        <v>-202.9932</v>
      </c>
      <c r="L62">
        <f t="shared" si="16"/>
        <v>-197.2484</v>
      </c>
      <c r="M62">
        <f t="shared" si="16"/>
        <v>-199.20360000000002</v>
      </c>
      <c r="N62">
        <f t="shared" si="16"/>
        <v>-202.4588</v>
      </c>
      <c r="O62">
        <f t="shared" si="16"/>
        <v>-198.81399999999999</v>
      </c>
      <c r="P62">
        <f t="shared" si="16"/>
        <v>-197.5692</v>
      </c>
      <c r="Q62">
        <f t="shared" si="16"/>
        <v>-196.62440000000001</v>
      </c>
      <c r="R62">
        <f t="shared" si="16"/>
        <v>-196.17959999999999</v>
      </c>
      <c r="S62">
        <f t="shared" si="16"/>
        <v>-187.9348</v>
      </c>
      <c r="T62">
        <f t="shared" si="16"/>
        <v>-189.29</v>
      </c>
      <c r="U62">
        <f t="shared" si="16"/>
        <v>-188.54519999999999</v>
      </c>
      <c r="V62">
        <f t="shared" si="16"/>
        <v>-190.80000000000004</v>
      </c>
      <c r="W62">
        <f t="shared" si="16"/>
        <v>-190.01669999999999</v>
      </c>
      <c r="X62">
        <f t="shared" si="16"/>
        <v>-189.51669999999999</v>
      </c>
      <c r="Y62">
        <f t="shared" si="16"/>
        <v>-189.0334</v>
      </c>
      <c r="Z62">
        <f t="shared" si="16"/>
        <v>-191.93340000000001</v>
      </c>
      <c r="AA62">
        <f t="shared" si="16"/>
        <v>-198.8501</v>
      </c>
      <c r="AB62">
        <f t="shared" si="16"/>
        <v>-198.55009999999999</v>
      </c>
      <c r="AC62">
        <f t="shared" si="16"/>
        <v>-200.66999999999996</v>
      </c>
      <c r="AD62">
        <f t="shared" si="16"/>
        <v>-200.67</v>
      </c>
      <c r="AE62">
        <f t="shared" si="16"/>
        <v>-200.67</v>
      </c>
      <c r="AF62">
        <f t="shared" si="16"/>
        <v>-200.67</v>
      </c>
      <c r="AG62">
        <f t="shared" si="16"/>
        <v>-196.59777311829998</v>
      </c>
      <c r="AH62" s="1">
        <v>-196.59777311829998</v>
      </c>
    </row>
    <row r="63" spans="7:34" x14ac:dyDescent="0.2">
      <c r="G63" t="s">
        <v>36</v>
      </c>
      <c r="H63" t="s">
        <v>40</v>
      </c>
      <c r="I63" t="s">
        <v>21</v>
      </c>
      <c r="J63" t="s">
        <v>18</v>
      </c>
      <c r="K63" s="1">
        <v>-6.8550604386999998</v>
      </c>
      <c r="L63" s="1">
        <v>-6.8550604386999998</v>
      </c>
      <c r="M63" s="1">
        <v>-6.8550604386999998</v>
      </c>
      <c r="N63" s="1">
        <v>-6.8550604386999998</v>
      </c>
      <c r="O63" s="1">
        <v>-6.8550604386999998</v>
      </c>
      <c r="P63" s="1">
        <v>-6.8550604386999998</v>
      </c>
      <c r="Q63" s="1">
        <v>-6.8550604386999998</v>
      </c>
      <c r="R63" s="1">
        <v>-6.8550604386999998</v>
      </c>
      <c r="S63" s="1">
        <v>-6.8550604386999998</v>
      </c>
      <c r="T63" s="1">
        <v>-6.8550604386999998</v>
      </c>
      <c r="U63" s="1">
        <v>-6.8550604386999998</v>
      </c>
      <c r="V63" s="1">
        <v>-6.8550604386999998</v>
      </c>
      <c r="W63" s="1">
        <v>-6.8550604386999998</v>
      </c>
      <c r="X63" s="1">
        <v>-6.8550604386999998</v>
      </c>
      <c r="Y63" s="1">
        <v>-6.8550604386999998</v>
      </c>
      <c r="Z63" s="1">
        <v>-6.8550604386999998</v>
      </c>
      <c r="AA63" s="1">
        <v>-6.8550604386999998</v>
      </c>
      <c r="AB63" s="1">
        <v>-6.8550604386999998</v>
      </c>
      <c r="AC63" s="1">
        <v>-6.8550604386999998</v>
      </c>
      <c r="AD63" s="1">
        <v>-6.8550604386999998</v>
      </c>
      <c r="AE63" s="1">
        <v>-6.8550604386999998</v>
      </c>
      <c r="AF63" s="1">
        <v>-6.8550604386999998</v>
      </c>
      <c r="AG63" s="1">
        <v>-6.8550604386999998</v>
      </c>
      <c r="AH63" s="1">
        <v>-6.8550604386999998</v>
      </c>
    </row>
    <row r="64" spans="7:34" x14ac:dyDescent="0.2">
      <c r="G64" t="s">
        <v>36</v>
      </c>
      <c r="H64" t="s">
        <v>42</v>
      </c>
      <c r="I64" t="s">
        <v>21</v>
      </c>
      <c r="J64" t="s">
        <v>18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7:34" x14ac:dyDescent="0.2">
      <c r="G65" t="s">
        <v>36</v>
      </c>
      <c r="H65" s="2" t="s">
        <v>43</v>
      </c>
      <c r="I65" t="s">
        <v>21</v>
      </c>
      <c r="J65" t="s">
        <v>18</v>
      </c>
      <c r="K65">
        <f>+(L26/K26)*K26</f>
        <v>-9</v>
      </c>
      <c r="L65">
        <f>+(M26/L26)*L26</f>
        <v>-1.9</v>
      </c>
      <c r="M65">
        <f t="shared" ref="M65:AF65" si="17">+(N26/M26)*M26</f>
        <v>-2.9</v>
      </c>
      <c r="N65">
        <f t="shared" si="17"/>
        <v>-3.1</v>
      </c>
      <c r="O65">
        <f t="shared" si="17"/>
        <v>-2</v>
      </c>
      <c r="P65">
        <f t="shared" si="17"/>
        <v>-6</v>
      </c>
      <c r="Q65">
        <f t="shared" si="17"/>
        <v>1</v>
      </c>
      <c r="R65">
        <f t="shared" si="17"/>
        <v>-1</v>
      </c>
      <c r="S65">
        <f t="shared" si="17"/>
        <v>9</v>
      </c>
      <c r="T65">
        <f t="shared" si="17"/>
        <v>4</v>
      </c>
      <c r="U65">
        <f t="shared" si="17"/>
        <v>8</v>
      </c>
      <c r="V65">
        <f t="shared" si="17"/>
        <v>5.5</v>
      </c>
      <c r="W65">
        <f t="shared" si="17"/>
        <v>4</v>
      </c>
      <c r="X65">
        <f t="shared" si="17"/>
        <v>8</v>
      </c>
      <c r="Y65">
        <f t="shared" si="17"/>
        <v>-2</v>
      </c>
      <c r="Z65">
        <f t="shared" si="17"/>
        <v>7</v>
      </c>
      <c r="AA65">
        <f t="shared" si="17"/>
        <v>-5</v>
      </c>
      <c r="AB65">
        <f t="shared" si="17"/>
        <v>3</v>
      </c>
      <c r="AC65">
        <f t="shared" si="17"/>
        <v>-2.1280000000000001</v>
      </c>
      <c r="AD65">
        <f t="shared" si="17"/>
        <v>-2.1280000000000001</v>
      </c>
      <c r="AE65">
        <f t="shared" si="17"/>
        <v>-2.1280000000000001</v>
      </c>
      <c r="AF65">
        <f t="shared" si="17"/>
        <v>-2.1280000000000001</v>
      </c>
      <c r="AG65">
        <f>+(AH26/AG26)*AG26</f>
        <v>0.87769923849999998</v>
      </c>
      <c r="AH65" s="1">
        <v>0.87769923849999998</v>
      </c>
    </row>
    <row r="66" spans="7:34" x14ac:dyDescent="0.2">
      <c r="G66" t="s">
        <v>28</v>
      </c>
      <c r="H66" t="s">
        <v>29</v>
      </c>
      <c r="I66" t="s">
        <v>30</v>
      </c>
      <c r="J66" t="s">
        <v>18</v>
      </c>
      <c r="K66">
        <f t="shared" ref="K66:AG66" si="18">+(L27/K27)*K27</f>
        <v>2.0537558979999999</v>
      </c>
      <c r="L66">
        <f t="shared" si="18"/>
        <v>2.7706015050000001</v>
      </c>
      <c r="M66">
        <f t="shared" si="18"/>
        <v>3.0402710129999999</v>
      </c>
      <c r="N66">
        <f t="shared" si="18"/>
        <v>3.3290408039999999</v>
      </c>
      <c r="O66">
        <f t="shared" si="18"/>
        <v>4.7508748680000004</v>
      </c>
      <c r="P66">
        <f t="shared" si="18"/>
        <v>6.1972702579999996</v>
      </c>
      <c r="Q66">
        <f t="shared" si="18"/>
        <v>7.7905539810000004</v>
      </c>
      <c r="R66">
        <f t="shared" si="18"/>
        <v>9.0248499540000005</v>
      </c>
      <c r="S66">
        <f t="shared" si="18"/>
        <v>9.573062384</v>
      </c>
      <c r="T66">
        <f t="shared" si="18"/>
        <v>10.615011669999999</v>
      </c>
      <c r="U66">
        <f t="shared" si="18"/>
        <v>11.10417713</v>
      </c>
      <c r="V66">
        <f t="shared" si="18"/>
        <v>10.78470317</v>
      </c>
      <c r="W66">
        <f t="shared" si="18"/>
        <v>11.588838740000002</v>
      </c>
      <c r="X66">
        <f t="shared" si="18"/>
        <v>13.090126440000001</v>
      </c>
      <c r="Y66">
        <f t="shared" si="18"/>
        <v>12.66310841</v>
      </c>
      <c r="Z66">
        <f t="shared" si="18"/>
        <v>13.57321997</v>
      </c>
      <c r="AA66">
        <f t="shared" si="18"/>
        <v>14.831829119999998</v>
      </c>
      <c r="AB66">
        <f t="shared" si="18"/>
        <v>15.79345548</v>
      </c>
      <c r="AC66">
        <f t="shared" si="18"/>
        <v>16.839520820000001</v>
      </c>
      <c r="AD66">
        <f t="shared" si="18"/>
        <v>17.885871439999999</v>
      </c>
      <c r="AE66">
        <f t="shared" si="18"/>
        <v>19.050157290000001</v>
      </c>
      <c r="AF66">
        <f t="shared" si="18"/>
        <v>20.302672279999999</v>
      </c>
      <c r="AG66">
        <f t="shared" si="18"/>
        <v>0</v>
      </c>
      <c r="AH66" s="1">
        <v>0</v>
      </c>
    </row>
    <row r="67" spans="7:34" x14ac:dyDescent="0.2">
      <c r="G67" t="s">
        <v>15</v>
      </c>
      <c r="H67" t="s">
        <v>16</v>
      </c>
      <c r="I67" t="s">
        <v>17</v>
      </c>
      <c r="J67" t="s">
        <v>18</v>
      </c>
      <c r="K67">
        <f t="shared" ref="K67:AG67" si="19">+(L28/K28)*K28</f>
        <v>67.369813089999994</v>
      </c>
      <c r="L67">
        <f t="shared" si="19"/>
        <v>68.900344340000004</v>
      </c>
      <c r="M67">
        <f t="shared" si="19"/>
        <v>69.306505279999996</v>
      </c>
      <c r="N67">
        <f t="shared" si="19"/>
        <v>69.2668623</v>
      </c>
      <c r="O67">
        <f t="shared" si="19"/>
        <v>71.40940062</v>
      </c>
      <c r="P67">
        <f t="shared" si="19"/>
        <v>72.029948160000004</v>
      </c>
      <c r="Q67">
        <f t="shared" si="19"/>
        <v>72.724622089999997</v>
      </c>
      <c r="R67">
        <f t="shared" si="19"/>
        <v>73.693570210000004</v>
      </c>
      <c r="S67">
        <f t="shared" si="19"/>
        <v>74.742967239999999</v>
      </c>
      <c r="T67">
        <f t="shared" si="19"/>
        <v>75.571807969999995</v>
      </c>
      <c r="U67">
        <f t="shared" si="19"/>
        <v>76.539634309999997</v>
      </c>
      <c r="V67">
        <f t="shared" si="19"/>
        <v>75.152108780000006</v>
      </c>
      <c r="W67">
        <f t="shared" si="19"/>
        <v>76.472559939999996</v>
      </c>
      <c r="X67">
        <f t="shared" si="19"/>
        <v>77.803717860000006</v>
      </c>
      <c r="Y67">
        <f t="shared" si="19"/>
        <v>79.323133710000008</v>
      </c>
      <c r="Z67">
        <f t="shared" si="19"/>
        <v>80.06520755999999</v>
      </c>
      <c r="AA67">
        <f t="shared" si="19"/>
        <v>81.119306399999999</v>
      </c>
      <c r="AB67">
        <f t="shared" si="19"/>
        <v>82.254419720000001</v>
      </c>
      <c r="AC67">
        <f t="shared" si="19"/>
        <v>83.209420739999999</v>
      </c>
      <c r="AD67">
        <f t="shared" si="19"/>
        <v>84.150837989999999</v>
      </c>
      <c r="AE67">
        <f t="shared" si="19"/>
        <v>85.588806770000019</v>
      </c>
      <c r="AF67">
        <f t="shared" si="19"/>
        <v>88.035476680000002</v>
      </c>
      <c r="AG67">
        <f t="shared" si="19"/>
        <v>100.10415599999999</v>
      </c>
      <c r="AH67" s="1">
        <v>100.104156</v>
      </c>
    </row>
    <row r="68" spans="7:34" x14ac:dyDescent="0.2">
      <c r="G68" t="s">
        <v>15</v>
      </c>
      <c r="H68" t="s">
        <v>16</v>
      </c>
      <c r="I68" t="s">
        <v>19</v>
      </c>
      <c r="J68" t="s">
        <v>18</v>
      </c>
      <c r="K68">
        <f t="shared" ref="K68:AG68" si="20">+(L29/K29)*K29</f>
        <v>1.2501043949999999</v>
      </c>
      <c r="L68">
        <f t="shared" si="20"/>
        <v>1.2479144550000001</v>
      </c>
      <c r="M68">
        <f t="shared" si="20"/>
        <v>1.257076761</v>
      </c>
      <c r="N68">
        <f t="shared" si="20"/>
        <v>1.3022064710000001</v>
      </c>
      <c r="O68">
        <f t="shared" si="20"/>
        <v>1.3094484800000001</v>
      </c>
      <c r="P68">
        <f t="shared" si="20"/>
        <v>1.3188261800000003</v>
      </c>
      <c r="Q68">
        <f t="shared" si="20"/>
        <v>1.3216532540000001</v>
      </c>
      <c r="R68">
        <f t="shared" si="20"/>
        <v>1.320888595</v>
      </c>
      <c r="S68">
        <f t="shared" si="20"/>
        <v>1.3252183320000002</v>
      </c>
      <c r="T68">
        <f t="shared" si="20"/>
        <v>1.3397072179999998</v>
      </c>
      <c r="U68">
        <f t="shared" si="20"/>
        <v>1.3495162349999998</v>
      </c>
      <c r="V68">
        <f t="shared" si="20"/>
        <v>1.3735121559999999</v>
      </c>
      <c r="W68">
        <f t="shared" si="20"/>
        <v>1.4019166820000002</v>
      </c>
      <c r="X68">
        <f t="shared" si="20"/>
        <v>1.395352672</v>
      </c>
      <c r="Y68">
        <f t="shared" si="20"/>
        <v>1.4180845559999999</v>
      </c>
      <c r="Z68">
        <f t="shared" si="20"/>
        <v>1.4463428790000001</v>
      </c>
      <c r="AA68">
        <f t="shared" si="20"/>
        <v>1.488383462</v>
      </c>
      <c r="AB68">
        <f t="shared" si="20"/>
        <v>1.5398536350000001</v>
      </c>
      <c r="AC68">
        <f t="shared" si="20"/>
        <v>1.5833815499999999</v>
      </c>
      <c r="AD68">
        <f t="shared" si="20"/>
        <v>1.6185937730000002</v>
      </c>
      <c r="AE68">
        <f t="shared" si="20"/>
        <v>1.6563061809999999</v>
      </c>
      <c r="AF68">
        <f t="shared" si="20"/>
        <v>1.7196749419999999</v>
      </c>
      <c r="AG68">
        <f t="shared" si="20"/>
        <v>8.3266944349000003</v>
      </c>
      <c r="AH68" s="1">
        <v>8.3266944349000003</v>
      </c>
    </row>
    <row r="69" spans="7:34" x14ac:dyDescent="0.2">
      <c r="G69" t="s">
        <v>22</v>
      </c>
      <c r="H69" t="s">
        <v>26</v>
      </c>
      <c r="I69" t="s">
        <v>21</v>
      </c>
      <c r="J69" t="s">
        <v>18</v>
      </c>
      <c r="K69">
        <f t="shared" ref="K69:AG69" si="21">+(L30/K30)*K30</f>
        <v>47.885278219999996</v>
      </c>
      <c r="L69">
        <f t="shared" si="21"/>
        <v>51.466356389999994</v>
      </c>
      <c r="M69">
        <f t="shared" si="21"/>
        <v>52.391348410000006</v>
      </c>
      <c r="N69">
        <f t="shared" si="21"/>
        <v>56.299488439999998</v>
      </c>
      <c r="O69">
        <f t="shared" si="21"/>
        <v>58.713483359999998</v>
      </c>
      <c r="P69">
        <f t="shared" si="21"/>
        <v>66.169689759999997</v>
      </c>
      <c r="Q69">
        <f t="shared" si="21"/>
        <v>62.130383930000001</v>
      </c>
      <c r="R69">
        <f t="shared" si="21"/>
        <v>64.348859050000002</v>
      </c>
      <c r="S69">
        <f t="shared" si="21"/>
        <v>52.108694890000002</v>
      </c>
      <c r="T69">
        <f t="shared" si="21"/>
        <v>62.169880319999997</v>
      </c>
      <c r="U69">
        <f t="shared" si="21"/>
        <v>67.933849800000004</v>
      </c>
      <c r="V69">
        <f t="shared" si="21"/>
        <v>61.500284110000003</v>
      </c>
      <c r="W69">
        <f t="shared" si="21"/>
        <v>65.750149120000003</v>
      </c>
      <c r="X69">
        <f t="shared" si="21"/>
        <v>59.04865633</v>
      </c>
      <c r="Y69">
        <f t="shared" si="21"/>
        <v>66.01766868</v>
      </c>
      <c r="Z69">
        <f t="shared" si="21"/>
        <v>61.93601778</v>
      </c>
      <c r="AA69">
        <f t="shared" si="21"/>
        <v>68.3470595</v>
      </c>
      <c r="AB69">
        <f t="shared" si="21"/>
        <v>50.759569450000001</v>
      </c>
      <c r="AC69">
        <f t="shared" si="21"/>
        <v>55.885901459999999</v>
      </c>
      <c r="AD69">
        <f t="shared" si="21"/>
        <v>50.356816649999999</v>
      </c>
      <c r="AE69">
        <f t="shared" si="21"/>
        <v>51.640573959999998</v>
      </c>
      <c r="AF69">
        <f t="shared" si="21"/>
        <v>57.599161249999995</v>
      </c>
      <c r="AG69">
        <f t="shared" si="21"/>
        <v>59.464700963921359</v>
      </c>
      <c r="AH69" s="1">
        <v>59.464700963921359</v>
      </c>
    </row>
    <row r="70" spans="7:34" x14ac:dyDescent="0.2">
      <c r="G70" t="s">
        <v>22</v>
      </c>
      <c r="H70" t="s">
        <v>26</v>
      </c>
      <c r="I70" t="s">
        <v>19</v>
      </c>
      <c r="J70" t="s">
        <v>18</v>
      </c>
      <c r="K70">
        <f t="shared" ref="K70:AG70" si="22">+(L31/K31)*K31</f>
        <v>0.112475796</v>
      </c>
      <c r="L70">
        <f t="shared" si="22"/>
        <v>0.11289147600000002</v>
      </c>
      <c r="M70">
        <f t="shared" si="22"/>
        <v>0.129104266</v>
      </c>
      <c r="N70">
        <f t="shared" si="22"/>
        <v>0.13649135400000001</v>
      </c>
      <c r="O70">
        <f t="shared" si="22"/>
        <v>0.15667473200000001</v>
      </c>
      <c r="P70">
        <f t="shared" si="22"/>
        <v>0.17580694799999996</v>
      </c>
      <c r="Q70">
        <f t="shared" si="22"/>
        <v>0.153421528</v>
      </c>
      <c r="R70">
        <f t="shared" si="22"/>
        <v>0.164392555</v>
      </c>
      <c r="S70">
        <f t="shared" si="22"/>
        <v>0.12022966100000002</v>
      </c>
      <c r="T70">
        <f t="shared" si="22"/>
        <v>0.14603554199999999</v>
      </c>
      <c r="U70">
        <f t="shared" si="22"/>
        <v>0.167244693</v>
      </c>
      <c r="V70">
        <f t="shared" si="22"/>
        <v>0.134408536</v>
      </c>
      <c r="W70">
        <f t="shared" si="22"/>
        <v>0.16755202299999999</v>
      </c>
      <c r="X70">
        <f t="shared" si="22"/>
        <v>0.12118393199999999</v>
      </c>
      <c r="Y70">
        <f t="shared" si="22"/>
        <v>0.146764849</v>
      </c>
      <c r="Z70">
        <f t="shared" si="22"/>
        <v>0.120764527</v>
      </c>
      <c r="AA70">
        <f t="shared" si="22"/>
        <v>0.18239080499999999</v>
      </c>
      <c r="AB70">
        <f t="shared" si="22"/>
        <v>0.166514781</v>
      </c>
      <c r="AC70">
        <f t="shared" si="22"/>
        <v>0.17927579699999996</v>
      </c>
      <c r="AD70">
        <f t="shared" si="22"/>
        <v>0.16003008699999999</v>
      </c>
      <c r="AE70">
        <f t="shared" si="22"/>
        <v>0.156714305</v>
      </c>
      <c r="AF70">
        <f t="shared" si="22"/>
        <v>0.17068877900000001</v>
      </c>
      <c r="AG70">
        <f t="shared" si="22"/>
        <v>0.11494581626438267</v>
      </c>
      <c r="AH70" s="1">
        <v>0.11494581626438267</v>
      </c>
    </row>
    <row r="71" spans="7:34" x14ac:dyDescent="0.2">
      <c r="G71" t="s">
        <v>22</v>
      </c>
      <c r="H71" t="s">
        <v>27</v>
      </c>
      <c r="I71" t="s">
        <v>17</v>
      </c>
      <c r="J71" t="s">
        <v>18</v>
      </c>
      <c r="K71">
        <f t="shared" ref="K71:AG71" si="23">+(L32/K32)*K32</f>
        <v>0.81562628199999987</v>
      </c>
      <c r="L71">
        <f t="shared" si="23"/>
        <v>0.82979891999999988</v>
      </c>
      <c r="M71">
        <f t="shared" si="23"/>
        <v>0.85797265299999992</v>
      </c>
      <c r="N71">
        <f t="shared" si="23"/>
        <v>0.88661950899999997</v>
      </c>
      <c r="O71">
        <f t="shared" si="23"/>
        <v>0.91458411500000003</v>
      </c>
      <c r="P71">
        <f t="shared" si="23"/>
        <v>0.95226732500000011</v>
      </c>
      <c r="Q71">
        <f t="shared" si="23"/>
        <v>0.98873344900000015</v>
      </c>
      <c r="R71">
        <f t="shared" si="23"/>
        <v>1.021136536</v>
      </c>
      <c r="S71">
        <f t="shared" si="23"/>
        <v>0.98249413699999999</v>
      </c>
      <c r="T71">
        <f t="shared" si="23"/>
        <v>0.96949291000000004</v>
      </c>
      <c r="U71">
        <f t="shared" si="23"/>
        <v>0.95869596800000001</v>
      </c>
      <c r="V71">
        <f t="shared" si="23"/>
        <v>0.94017725399999996</v>
      </c>
      <c r="W71">
        <f t="shared" si="23"/>
        <v>0.90815821699999999</v>
      </c>
      <c r="X71">
        <f t="shared" si="23"/>
        <v>0.85895950300000001</v>
      </c>
      <c r="Y71">
        <f t="shared" si="23"/>
        <v>0.83404375399999997</v>
      </c>
      <c r="Z71">
        <f t="shared" si="23"/>
        <v>0.83254319499999996</v>
      </c>
      <c r="AA71">
        <f t="shared" si="23"/>
        <v>0.78485239299999998</v>
      </c>
      <c r="AB71">
        <f t="shared" si="23"/>
        <v>0.73523707900000002</v>
      </c>
      <c r="AC71">
        <f t="shared" si="23"/>
        <v>0.75039567299999999</v>
      </c>
      <c r="AD71">
        <f t="shared" si="23"/>
        <v>0.54750886300000001</v>
      </c>
      <c r="AE71">
        <f t="shared" si="23"/>
        <v>0.61502946999999997</v>
      </c>
      <c r="AF71">
        <f t="shared" si="23"/>
        <v>0.74600283899999997</v>
      </c>
      <c r="AG71">
        <f t="shared" si="23"/>
        <v>0.64647767950000001</v>
      </c>
      <c r="AH71" s="1">
        <v>0.64647767950000001</v>
      </c>
    </row>
    <row r="72" spans="7:34" x14ac:dyDescent="0.2">
      <c r="G72" t="s">
        <v>22</v>
      </c>
      <c r="H72" t="s">
        <v>27</v>
      </c>
      <c r="I72" t="s">
        <v>21</v>
      </c>
      <c r="J72" t="s">
        <v>18</v>
      </c>
      <c r="K72">
        <f t="shared" ref="K72:AG72" si="24">+(L33/K33)*K33</f>
        <v>107.88443519999998</v>
      </c>
      <c r="L72">
        <f t="shared" si="24"/>
        <v>109.78165660000002</v>
      </c>
      <c r="M72">
        <f t="shared" si="24"/>
        <v>116.3803319</v>
      </c>
      <c r="N72">
        <f t="shared" si="24"/>
        <v>122.7580538</v>
      </c>
      <c r="O72">
        <f t="shared" si="24"/>
        <v>130.2342812</v>
      </c>
      <c r="P72">
        <f t="shared" si="24"/>
        <v>137.4066948</v>
      </c>
      <c r="Q72">
        <f t="shared" si="24"/>
        <v>145.17287249999998</v>
      </c>
      <c r="R72">
        <f t="shared" si="24"/>
        <v>151.1830741</v>
      </c>
      <c r="S72">
        <f t="shared" si="24"/>
        <v>147.6966194</v>
      </c>
      <c r="T72">
        <f t="shared" si="24"/>
        <v>150.57899990000001</v>
      </c>
      <c r="U72">
        <f t="shared" si="24"/>
        <v>151.65854909999999</v>
      </c>
      <c r="V72">
        <f t="shared" si="24"/>
        <v>152.5066491</v>
      </c>
      <c r="W72">
        <f t="shared" si="24"/>
        <v>150.639388</v>
      </c>
      <c r="X72">
        <f t="shared" si="24"/>
        <v>151.2396311</v>
      </c>
      <c r="Y72">
        <f t="shared" si="24"/>
        <v>150.50565109999999</v>
      </c>
      <c r="Z72">
        <f t="shared" si="24"/>
        <v>155.88511349999999</v>
      </c>
      <c r="AA72">
        <f t="shared" si="24"/>
        <v>151.37329700000001</v>
      </c>
      <c r="AB72">
        <f t="shared" si="24"/>
        <v>147.37328299999999</v>
      </c>
      <c r="AC72">
        <f t="shared" si="24"/>
        <v>150.13342019999999</v>
      </c>
      <c r="AD72">
        <f t="shared" si="24"/>
        <v>106.1762066</v>
      </c>
      <c r="AE72">
        <f t="shared" si="24"/>
        <v>119.38131599999998</v>
      </c>
      <c r="AF72">
        <f t="shared" si="24"/>
        <v>144.6051099</v>
      </c>
      <c r="AG72">
        <f t="shared" si="24"/>
        <v>166.16134968700001</v>
      </c>
      <c r="AH72" s="1">
        <v>166.16134968700001</v>
      </c>
    </row>
    <row r="73" spans="7:34" x14ac:dyDescent="0.2">
      <c r="G73" t="s">
        <v>22</v>
      </c>
      <c r="H73" t="s">
        <v>27</v>
      </c>
      <c r="I73" t="s">
        <v>19</v>
      </c>
      <c r="J73" t="s">
        <v>18</v>
      </c>
      <c r="K73">
        <f t="shared" ref="K73:AG73" si="25">+(L34/K34)*K34</f>
        <v>1.491520113</v>
      </c>
      <c r="L73">
        <f t="shared" si="25"/>
        <v>1.5296396219999999</v>
      </c>
      <c r="M73">
        <f t="shared" si="25"/>
        <v>1.6377052489999999</v>
      </c>
      <c r="N73">
        <f t="shared" si="25"/>
        <v>1.728605116</v>
      </c>
      <c r="O73">
        <f t="shared" si="25"/>
        <v>1.7601790470000003</v>
      </c>
      <c r="P73">
        <f t="shared" si="25"/>
        <v>1.8144022500000003</v>
      </c>
      <c r="Q73">
        <f t="shared" si="25"/>
        <v>1.8715649740000002</v>
      </c>
      <c r="R73">
        <f t="shared" si="25"/>
        <v>1.89697432</v>
      </c>
      <c r="S73">
        <f t="shared" si="25"/>
        <v>1.5656287179999999</v>
      </c>
      <c r="T73">
        <f t="shared" si="25"/>
        <v>1.5936730830000003</v>
      </c>
      <c r="U73">
        <f t="shared" si="25"/>
        <v>1.5993815290000002</v>
      </c>
      <c r="V73">
        <f t="shared" si="25"/>
        <v>1.5787931690000001</v>
      </c>
      <c r="W73">
        <f t="shared" si="25"/>
        <v>1.586626302</v>
      </c>
      <c r="X73">
        <f t="shared" si="25"/>
        <v>1.5820102330000001</v>
      </c>
      <c r="Y73">
        <f t="shared" si="25"/>
        <v>1.5937368220000003</v>
      </c>
      <c r="Z73">
        <f t="shared" si="25"/>
        <v>1.6617865000000001</v>
      </c>
      <c r="AA73">
        <f t="shared" si="25"/>
        <v>1.621415877</v>
      </c>
      <c r="AB73">
        <f t="shared" si="25"/>
        <v>1.547041938</v>
      </c>
      <c r="AC73">
        <f t="shared" si="25"/>
        <v>1.5750448869999998</v>
      </c>
      <c r="AD73">
        <f t="shared" si="25"/>
        <v>1.0922502780000001</v>
      </c>
      <c r="AE73">
        <f t="shared" si="25"/>
        <v>1.227477049</v>
      </c>
      <c r="AF73">
        <f t="shared" si="25"/>
        <v>1.4883770599999999</v>
      </c>
      <c r="AG73">
        <f t="shared" si="25"/>
        <v>1.6353745337999999</v>
      </c>
      <c r="AH73" s="1">
        <v>1.6353745337999999</v>
      </c>
    </row>
    <row r="74" spans="7:34" x14ac:dyDescent="0.2">
      <c r="G74" t="s">
        <v>28</v>
      </c>
      <c r="H74" t="s">
        <v>29</v>
      </c>
      <c r="I74" t="s">
        <v>19</v>
      </c>
      <c r="J74" t="s">
        <v>18</v>
      </c>
      <c r="K74">
        <f t="shared" ref="K74:AG74" si="26">+(L35/K35)*K35</f>
        <v>41.67982593</v>
      </c>
      <c r="L74">
        <f t="shared" si="26"/>
        <v>43.92647233000001</v>
      </c>
      <c r="M74">
        <f t="shared" si="26"/>
        <v>46.804507209999997</v>
      </c>
      <c r="N74">
        <f t="shared" si="26"/>
        <v>48.783095030000005</v>
      </c>
      <c r="O74">
        <f t="shared" si="26"/>
        <v>50.838609959999999</v>
      </c>
      <c r="P74">
        <f t="shared" si="26"/>
        <v>52.264922769999998</v>
      </c>
      <c r="Q74">
        <f t="shared" si="26"/>
        <v>55.40524004000001</v>
      </c>
      <c r="R74">
        <f t="shared" si="26"/>
        <v>58.675507540000005</v>
      </c>
      <c r="S74">
        <f t="shared" si="26"/>
        <v>64.199320920000005</v>
      </c>
      <c r="T74">
        <f t="shared" si="26"/>
        <v>64.072594050000006</v>
      </c>
      <c r="U74">
        <f t="shared" si="26"/>
        <v>64.764297769999999</v>
      </c>
      <c r="V74">
        <f t="shared" si="26"/>
        <v>65.255506229999995</v>
      </c>
      <c r="W74">
        <f t="shared" si="26"/>
        <v>65.265370630000007</v>
      </c>
      <c r="X74">
        <f t="shared" si="26"/>
        <v>65.005499830000005</v>
      </c>
      <c r="Y74">
        <f t="shared" si="26"/>
        <v>65.042616719999998</v>
      </c>
      <c r="Z74">
        <f t="shared" si="26"/>
        <v>65.005860929999997</v>
      </c>
      <c r="AA74">
        <f t="shared" si="26"/>
        <v>65.044400120000006</v>
      </c>
      <c r="AB74">
        <f t="shared" si="26"/>
        <v>64.842756519999995</v>
      </c>
      <c r="AC74">
        <f t="shared" si="26"/>
        <v>64.921271039999993</v>
      </c>
      <c r="AD74">
        <f t="shared" si="26"/>
        <v>69.597182520000004</v>
      </c>
      <c r="AE74">
        <f t="shared" si="26"/>
        <v>72.133682160000006</v>
      </c>
      <c r="AF74">
        <f t="shared" si="26"/>
        <v>73.338455510000003</v>
      </c>
      <c r="AG74">
        <f t="shared" si="26"/>
        <v>0.40847289409801996</v>
      </c>
      <c r="AH74" s="1">
        <v>0.40847289409802001</v>
      </c>
    </row>
    <row r="75" spans="7:34" x14ac:dyDescent="0.2">
      <c r="G75" t="s">
        <v>33</v>
      </c>
      <c r="H75" t="s">
        <v>35</v>
      </c>
      <c r="I75" t="s">
        <v>17</v>
      </c>
      <c r="J75" t="s">
        <v>18</v>
      </c>
      <c r="K75">
        <f t="shared" ref="K75:AG75" si="27">+(L36/K36)*K36</f>
        <v>17.375790259999999</v>
      </c>
      <c r="L75">
        <f t="shared" si="27"/>
        <v>17.794669910000003</v>
      </c>
      <c r="M75">
        <f t="shared" si="27"/>
        <v>18.091367269999999</v>
      </c>
      <c r="N75">
        <f t="shared" si="27"/>
        <v>18.237429209999998</v>
      </c>
      <c r="O75">
        <f t="shared" si="27"/>
        <v>18.47859644</v>
      </c>
      <c r="P75">
        <f t="shared" si="27"/>
        <v>18.760877440000002</v>
      </c>
      <c r="Q75">
        <f t="shared" si="27"/>
        <v>18.98627261</v>
      </c>
      <c r="R75">
        <f t="shared" si="27"/>
        <v>19.366236390000001</v>
      </c>
      <c r="S75">
        <f t="shared" si="27"/>
        <v>19.47247737</v>
      </c>
      <c r="T75">
        <f t="shared" si="27"/>
        <v>19.766029299999996</v>
      </c>
      <c r="U75">
        <f t="shared" si="27"/>
        <v>20.095596709999999</v>
      </c>
      <c r="V75">
        <f t="shared" si="27"/>
        <v>20.344545589999999</v>
      </c>
      <c r="W75">
        <f t="shared" si="27"/>
        <v>20.771366449999999</v>
      </c>
      <c r="X75">
        <f t="shared" si="27"/>
        <v>20.93014956</v>
      </c>
      <c r="Y75">
        <f t="shared" si="27"/>
        <v>21.15443247</v>
      </c>
      <c r="Z75">
        <f t="shared" si="27"/>
        <v>21.42410293</v>
      </c>
      <c r="AA75">
        <f t="shared" si="27"/>
        <v>21.814051020000001</v>
      </c>
      <c r="AB75">
        <f t="shared" si="27"/>
        <v>21.940678590000001</v>
      </c>
      <c r="AC75">
        <f t="shared" si="27"/>
        <v>22.483808190000001</v>
      </c>
      <c r="AD75">
        <f t="shared" si="27"/>
        <v>22.825966689999998</v>
      </c>
      <c r="AE75">
        <f t="shared" si="27"/>
        <v>23.08074615</v>
      </c>
      <c r="AF75">
        <f t="shared" si="27"/>
        <v>23.362826760000001</v>
      </c>
      <c r="AG75">
        <f t="shared" si="27"/>
        <v>26.47650547750596</v>
      </c>
      <c r="AH75" s="1">
        <v>26.47650547750596</v>
      </c>
    </row>
    <row r="76" spans="7:34" x14ac:dyDescent="0.2">
      <c r="G76" t="s">
        <v>33</v>
      </c>
      <c r="H76" t="s">
        <v>35</v>
      </c>
      <c r="I76" t="s">
        <v>19</v>
      </c>
      <c r="J76" t="s">
        <v>18</v>
      </c>
      <c r="K76">
        <f t="shared" ref="K76:AG76" si="28">+(L37/K37)*K37</f>
        <v>1.4945921529999999</v>
      </c>
      <c r="L76">
        <f t="shared" si="28"/>
        <v>1.5185204400000001</v>
      </c>
      <c r="M76">
        <f t="shared" si="28"/>
        <v>1.53720437</v>
      </c>
      <c r="N76">
        <f t="shared" si="28"/>
        <v>1.5569359970000001</v>
      </c>
      <c r="O76">
        <f t="shared" si="28"/>
        <v>1.5838565929999999</v>
      </c>
      <c r="P76">
        <f t="shared" si="28"/>
        <v>1.6148765199999997</v>
      </c>
      <c r="Q76">
        <f t="shared" si="28"/>
        <v>1.6460698600000003</v>
      </c>
      <c r="R76">
        <f t="shared" si="28"/>
        <v>1.6596385060000001</v>
      </c>
      <c r="S76">
        <f t="shared" si="28"/>
        <v>1.6865491159999997</v>
      </c>
      <c r="T76">
        <f t="shared" si="28"/>
        <v>1.7071495600000002</v>
      </c>
      <c r="U76">
        <f t="shared" si="28"/>
        <v>1.7388955829999997</v>
      </c>
      <c r="V76">
        <f t="shared" si="28"/>
        <v>1.7723567579999997</v>
      </c>
      <c r="W76">
        <f t="shared" si="28"/>
        <v>1.809707425</v>
      </c>
      <c r="X76">
        <f t="shared" si="28"/>
        <v>1.8491514790000001</v>
      </c>
      <c r="Y76">
        <f t="shared" si="28"/>
        <v>1.8803128220000003</v>
      </c>
      <c r="Z76">
        <f t="shared" si="28"/>
        <v>1.913475126</v>
      </c>
      <c r="AA76">
        <f t="shared" si="28"/>
        <v>1.944305919</v>
      </c>
      <c r="AB76">
        <f t="shared" si="28"/>
        <v>1.974892917</v>
      </c>
      <c r="AC76">
        <f t="shared" si="28"/>
        <v>1.9985893980000002</v>
      </c>
      <c r="AD76">
        <f t="shared" si="28"/>
        <v>2.021878558</v>
      </c>
      <c r="AE76">
        <f t="shared" si="28"/>
        <v>2.050191705</v>
      </c>
      <c r="AF76">
        <f t="shared" si="28"/>
        <v>2.078901332</v>
      </c>
      <c r="AG76">
        <f t="shared" si="28"/>
        <v>7.0524668096519996</v>
      </c>
      <c r="AH76" s="1">
        <v>7.0524668096519996</v>
      </c>
    </row>
    <row r="77" spans="7:34" x14ac:dyDescent="0.2">
      <c r="G77" t="s">
        <v>28</v>
      </c>
      <c r="H77" t="s">
        <v>29</v>
      </c>
      <c r="I77" t="s">
        <v>31</v>
      </c>
      <c r="J77" t="s">
        <v>18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7:34" x14ac:dyDescent="0.2">
      <c r="G78" t="s">
        <v>28</v>
      </c>
      <c r="H78" t="s">
        <v>29</v>
      </c>
      <c r="I78" t="s">
        <v>32</v>
      </c>
      <c r="J78" t="s">
        <v>18</v>
      </c>
      <c r="K78">
        <f t="shared" ref="K78:AG78" si="29">+(L39/K39)*K39</f>
        <v>0.249556793</v>
      </c>
      <c r="L78">
        <f t="shared" si="29"/>
        <v>0.28666066099999998</v>
      </c>
      <c r="M78">
        <f t="shared" si="29"/>
        <v>0.28075200900000002</v>
      </c>
      <c r="N78">
        <f t="shared" si="29"/>
        <v>0.21590006899999997</v>
      </c>
      <c r="O78">
        <f t="shared" si="29"/>
        <v>0.20367344300000001</v>
      </c>
      <c r="P78">
        <f t="shared" si="29"/>
        <v>0.18969491399999999</v>
      </c>
      <c r="Q78">
        <f t="shared" si="29"/>
        <v>0.20814638599999999</v>
      </c>
      <c r="R78">
        <f t="shared" si="29"/>
        <v>0.21602285700000001</v>
      </c>
      <c r="S78">
        <f t="shared" si="29"/>
        <v>0.22366432899999997</v>
      </c>
      <c r="T78">
        <f t="shared" si="29"/>
        <v>0.24164579999999997</v>
      </c>
      <c r="U78">
        <f t="shared" si="29"/>
        <v>0.254656035</v>
      </c>
      <c r="V78">
        <f t="shared" si="29"/>
        <v>0.265786246</v>
      </c>
      <c r="W78">
        <f t="shared" si="29"/>
        <v>0.29250487600000002</v>
      </c>
      <c r="X78">
        <f t="shared" si="29"/>
        <v>0.36120517600000002</v>
      </c>
      <c r="Y78">
        <f t="shared" si="29"/>
        <v>0.307341319</v>
      </c>
      <c r="Z78">
        <f t="shared" si="29"/>
        <v>0.33457431799999998</v>
      </c>
      <c r="AA78">
        <f t="shared" si="29"/>
        <v>0.37340332100000001</v>
      </c>
      <c r="AB78">
        <f t="shared" si="29"/>
        <v>0.40376414599999999</v>
      </c>
      <c r="AC78">
        <f t="shared" si="29"/>
        <v>0.43590508800000005</v>
      </c>
      <c r="AD78">
        <f t="shared" si="29"/>
        <v>0.46804603000000006</v>
      </c>
      <c r="AE78">
        <f t="shared" si="29"/>
        <v>0.50456856400000005</v>
      </c>
      <c r="AF78">
        <f t="shared" si="29"/>
        <v>0.54423727600000005</v>
      </c>
      <c r="AG78">
        <f t="shared" si="29"/>
        <v>0</v>
      </c>
      <c r="AH78" s="1">
        <v>0</v>
      </c>
    </row>
  </sheetData>
  <autoFilter ref="A1:AH39" xr:uid="{2946944D-AE6E-8748-9B95-0A538A141ADC}">
    <sortState xmlns:xlrd2="http://schemas.microsoft.com/office/spreadsheetml/2017/richdata2" ref="A10:AH37">
      <sortCondition ref="H1:H3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CSC-GHG_emissions-April2024_to_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Fabian Fuentes Rivas</dc:creator>
  <cp:lastModifiedBy>Carlos Fabian Fuentes Rivas</cp:lastModifiedBy>
  <dcterms:created xsi:type="dcterms:W3CDTF">2025-09-29T17:26:42Z</dcterms:created>
  <dcterms:modified xsi:type="dcterms:W3CDTF">2025-11-05T19:41:18Z</dcterms:modified>
</cp:coreProperties>
</file>