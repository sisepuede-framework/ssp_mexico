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exico/ssp_modeling/cost-benefits/output/"/>
    </mc:Choice>
  </mc:AlternateContent>
  <xr:revisionPtr revIDLastSave="0" documentId="13_ncr:1_{DFF579E1-EB30-9E48-9597-D963826FA74B}" xr6:coauthVersionLast="47" xr6:coauthVersionMax="47" xr10:uidLastSave="{00000000-0000-0000-0000-000000000000}"/>
  <bookViews>
    <workbookView xWindow="-33220" yWindow="-7160" windowWidth="27420" windowHeight="23400" xr2:uid="{5A52C232-5E9B-414E-B2B1-289496E70FFC}"/>
  </bookViews>
  <sheets>
    <sheet name="nemomod_entc_capex_opex" sheetId="1" r:id="rId1"/>
  </sheets>
  <definedNames>
    <definedName name="_xlnm._FilterDatabase" localSheetId="0" hidden="1">nemomod_entc_capex_opex!$A$1:$G$27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C46" i="1"/>
  <c r="D29" i="1"/>
  <c r="C29" i="1"/>
  <c r="F7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31" i="1"/>
  <c r="F44" i="1"/>
  <c r="F32" i="1"/>
  <c r="F33" i="1"/>
  <c r="F34" i="1"/>
  <c r="F35" i="1"/>
  <c r="F36" i="1"/>
  <c r="F37" i="1"/>
  <c r="F38" i="1"/>
  <c r="F39" i="1"/>
  <c r="F40" i="1"/>
  <c r="F41" i="1"/>
  <c r="F42" i="1"/>
  <c r="F43" i="1"/>
  <c r="F31" i="1"/>
  <c r="G3" i="1"/>
  <c r="G4" i="1"/>
  <c r="G5" i="1"/>
  <c r="G6" i="1"/>
  <c r="G14" i="1"/>
  <c r="G11" i="1"/>
  <c r="G15" i="1"/>
  <c r="G25" i="1"/>
  <c r="G16" i="1"/>
  <c r="G27" i="1"/>
  <c r="G13" i="1"/>
  <c r="G8" i="1"/>
  <c r="G24" i="1"/>
  <c r="G12" i="1"/>
  <c r="G17" i="1"/>
  <c r="G26" i="1"/>
  <c r="G7" i="1"/>
  <c r="G22" i="1"/>
  <c r="G9" i="1"/>
  <c r="G18" i="1"/>
  <c r="G10" i="1"/>
  <c r="G19" i="1"/>
  <c r="G23" i="1"/>
  <c r="G20" i="1"/>
  <c r="G21" i="1"/>
  <c r="G2" i="1"/>
  <c r="F3" i="1"/>
  <c r="F4" i="1"/>
  <c r="F5" i="1"/>
  <c r="F6" i="1"/>
  <c r="F14" i="1"/>
  <c r="F11" i="1"/>
  <c r="F15" i="1"/>
  <c r="F25" i="1"/>
  <c r="F16" i="1"/>
  <c r="F27" i="1"/>
  <c r="F13" i="1"/>
  <c r="F8" i="1"/>
  <c r="F24" i="1"/>
  <c r="F12" i="1"/>
  <c r="F17" i="1"/>
  <c r="F26" i="1"/>
  <c r="F22" i="1"/>
  <c r="F9" i="1"/>
  <c r="F18" i="1"/>
  <c r="F10" i="1"/>
  <c r="F19" i="1"/>
  <c r="F23" i="1"/>
  <c r="F20" i="1"/>
  <c r="F21" i="1"/>
  <c r="F2" i="1"/>
  <c r="F29" i="1" l="1"/>
  <c r="G29" i="1" l="1"/>
  <c r="F46" i="1"/>
  <c r="G46" i="1"/>
</calcChain>
</file>

<file path=xl/sharedStrings.xml><?xml version="1.0" encoding="utf-8"?>
<sst xmlns="http://schemas.openxmlformats.org/spreadsheetml/2006/main" count="41" uniqueCount="41">
  <si>
    <t>var</t>
  </si>
  <si>
    <t>operating_costs_pp_gas</t>
  </si>
  <si>
    <t>operating_costs_pp_oil</t>
  </si>
  <si>
    <t>operating_costs_pp_hydropower</t>
  </si>
  <si>
    <t>operating_costs_pp_coal</t>
  </si>
  <si>
    <t>operating_costs_fp_hydrogen_reformation</t>
  </si>
  <si>
    <t>operating_costs_pp_wind</t>
  </si>
  <si>
    <t>operating_costs_pp_nuclear</t>
  </si>
  <si>
    <t>operating_costs_pp_solar</t>
  </si>
  <si>
    <t>operating_costs_pp_geothermal</t>
  </si>
  <si>
    <t>operating_costs_pp_biogas</t>
  </si>
  <si>
    <t>operating_costs_pp_biomass</t>
  </si>
  <si>
    <t>operating_costs_pp_waste_incineration</t>
  </si>
  <si>
    <t>operating_costs_fp_ammonia_production</t>
  </si>
  <si>
    <t>operating_costs_fp_hydrogen_electrolysis</t>
  </si>
  <si>
    <t>operating_costs_fp_hydrogen_gasification</t>
  </si>
  <si>
    <t>operating_costs_fp_hydrogen_reformation_ccs</t>
  </si>
  <si>
    <t>operating_costs_fp_natural_gas_liquefaction</t>
  </si>
  <si>
    <t>operating_costs_pp_coal_ccs</t>
  </si>
  <si>
    <t>operating_costs_pp_gas_ccs</t>
  </si>
  <si>
    <t>operating_costs_pp_ocean</t>
  </si>
  <si>
    <t>capital_investment_fp_ammonia_production</t>
  </si>
  <si>
    <t>capital_investment_fp_hydrogen_electrolysis</t>
  </si>
  <si>
    <t>capital_investment_fp_hydrogen_gasification</t>
  </si>
  <si>
    <t>capital_investment_fp_hydrogen_reformation</t>
  </si>
  <si>
    <t>capital_investment_fp_hydrogen_reformation_ccs</t>
  </si>
  <si>
    <t>capital_investment_fp_natural_gas_liquefaction</t>
  </si>
  <si>
    <t>capital_investment_pp_biogas</t>
  </si>
  <si>
    <t>capital_investment_pp_biomass</t>
  </si>
  <si>
    <t>capital_investment_pp_coal</t>
  </si>
  <si>
    <t>capital_investment_pp_coal_ccs</t>
  </si>
  <si>
    <t>capital_investment_pp_gas</t>
  </si>
  <si>
    <t>capital_investment_pp_gas_ccs</t>
  </si>
  <si>
    <t>capital_investment_pp_geothermal</t>
  </si>
  <si>
    <t>capital_investment_pp_hydropower</t>
  </si>
  <si>
    <t>capital_investment_pp_nuclear</t>
  </si>
  <si>
    <t>capital_investment_pp_ocean</t>
  </si>
  <si>
    <t>capital_investment_pp_oil</t>
  </si>
  <si>
    <t>capital_investment_pp_solar</t>
  </si>
  <si>
    <t>capital_investment_pp_waste_incineration</t>
  </si>
  <si>
    <t>capital_investment_pp_wind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</si>
</sst>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4AF-5B2B-744C-9A6C-87524724FE4F}">
  <dimension ref="A1:H46"/>
  <sheetViews>
    <sheetView tabSelected="1" zoomScale="108" workbookViewId="0">
      <selection activeCell="D46" sqref="D46"/>
    </sheetView>
  </sheetViews>
  <sheetFormatPr baseColWidth="10" defaultRowHeight="16" x14ac:dyDescent="0.2"/>
  <cols>
    <col min="1" max="1" width="66" bestFit="1" customWidth="1"/>
    <col min="4" max="4" width="10.83203125" customWidth="1"/>
  </cols>
  <sheetData>
    <row r="1" spans="1:8" x14ac:dyDescent="0.2">
      <c r="A1" s="2" t="s">
        <v>0</v>
      </c>
      <c r="B1" s="2">
        <v>6003</v>
      </c>
      <c r="C1" s="2">
        <v>6004</v>
      </c>
      <c r="D1" s="2">
        <v>6005</v>
      </c>
      <c r="E1" s="2"/>
      <c r="F1" s="2">
        <v>6004</v>
      </c>
      <c r="G1" s="2">
        <v>6005</v>
      </c>
    </row>
    <row r="2" spans="1:8" hidden="1" x14ac:dyDescent="0.2">
      <c r="A2" t="s">
        <v>21</v>
      </c>
      <c r="B2">
        <v>0</v>
      </c>
      <c r="C2">
        <v>0</v>
      </c>
      <c r="D2">
        <v>0</v>
      </c>
      <c r="F2" s="1">
        <f>(+(C2-B2)*1000000)/1000000000</f>
        <v>0</v>
      </c>
      <c r="G2" s="1">
        <f>(+(D2-B2)*1000000)/1000000000</f>
        <v>0</v>
      </c>
      <c r="H2" s="1"/>
    </row>
    <row r="3" spans="1:8" hidden="1" x14ac:dyDescent="0.2">
      <c r="A3" t="s">
        <v>22</v>
      </c>
      <c r="B3">
        <v>0</v>
      </c>
      <c r="C3">
        <v>0</v>
      </c>
      <c r="D3">
        <v>0</v>
      </c>
      <c r="F3" s="1">
        <f t="shared" ref="F3:F6" si="0">(+(C3-B3)*1000000)/1000000000</f>
        <v>0</v>
      </c>
      <c r="G3" s="1">
        <f t="shared" ref="G3:G6" si="1">(+(D3-B3)*1000000)/1000000000</f>
        <v>0</v>
      </c>
      <c r="H3" s="1"/>
    </row>
    <row r="4" spans="1:8" hidden="1" x14ac:dyDescent="0.2">
      <c r="A4" t="s">
        <v>23</v>
      </c>
      <c r="B4">
        <v>0</v>
      </c>
      <c r="C4">
        <v>0</v>
      </c>
      <c r="D4">
        <v>0</v>
      </c>
      <c r="F4" s="1">
        <f t="shared" si="0"/>
        <v>0</v>
      </c>
      <c r="G4" s="1">
        <f t="shared" si="1"/>
        <v>0</v>
      </c>
      <c r="H4" s="1"/>
    </row>
    <row r="5" spans="1:8" hidden="1" x14ac:dyDescent="0.2">
      <c r="A5" t="s">
        <v>24</v>
      </c>
      <c r="B5">
        <v>0</v>
      </c>
      <c r="C5">
        <v>0</v>
      </c>
      <c r="D5">
        <v>0</v>
      </c>
      <c r="F5" s="1">
        <f t="shared" si="0"/>
        <v>0</v>
      </c>
      <c r="G5" s="1">
        <f t="shared" si="1"/>
        <v>0</v>
      </c>
      <c r="H5" s="1"/>
    </row>
    <row r="6" spans="1:8" hidden="1" x14ac:dyDescent="0.2">
      <c r="A6" t="s">
        <v>25</v>
      </c>
      <c r="B6">
        <v>0</v>
      </c>
      <c r="C6">
        <v>0</v>
      </c>
      <c r="D6">
        <v>0</v>
      </c>
      <c r="F6" s="1">
        <f t="shared" si="0"/>
        <v>0</v>
      </c>
      <c r="G6" s="1">
        <f t="shared" si="1"/>
        <v>0</v>
      </c>
      <c r="H6" s="1"/>
    </row>
    <row r="7" spans="1:8" x14ac:dyDescent="0.2">
      <c r="A7" t="s">
        <v>38</v>
      </c>
      <c r="B7">
        <v>12888.32414162</v>
      </c>
      <c r="C7">
        <v>37091.541701508802</v>
      </c>
      <c r="D7">
        <v>89421.145762589207</v>
      </c>
      <c r="F7" s="1">
        <f>(+(C7-B7)*1000000)/1000000000</f>
        <v>24.203217559888802</v>
      </c>
      <c r="G7" s="1">
        <f t="shared" ref="G7:G27" si="2">(+(D7-B7)*1000000)/1000000000</f>
        <v>76.532821620969202</v>
      </c>
      <c r="H7" s="1"/>
    </row>
    <row r="8" spans="1:8" x14ac:dyDescent="0.2">
      <c r="A8" t="s">
        <v>33</v>
      </c>
      <c r="B8">
        <v>5435.4673624625402</v>
      </c>
      <c r="C8">
        <v>19892.9511945456</v>
      </c>
      <c r="D8">
        <v>56613.375142614801</v>
      </c>
      <c r="F8" s="1">
        <f t="shared" ref="F7:F27" si="3">(+(C8-B8)*1000000)/1000000000</f>
        <v>14.457483832083062</v>
      </c>
      <c r="G8" s="1">
        <f t="shared" si="2"/>
        <v>51.17790778015226</v>
      </c>
      <c r="H8" s="1"/>
    </row>
    <row r="9" spans="1:8" x14ac:dyDescent="0.2">
      <c r="A9" t="s">
        <v>40</v>
      </c>
      <c r="B9">
        <v>18602.096508562601</v>
      </c>
      <c r="C9">
        <v>40389.067473823598</v>
      </c>
      <c r="D9">
        <v>67652.783742961896</v>
      </c>
      <c r="F9" s="1">
        <f t="shared" si="3"/>
        <v>21.786970965260998</v>
      </c>
      <c r="G9" s="1">
        <f t="shared" si="2"/>
        <v>49.050687234399291</v>
      </c>
      <c r="H9" s="1"/>
    </row>
    <row r="10" spans="1:8" x14ac:dyDescent="0.2">
      <c r="A10" t="s">
        <v>14</v>
      </c>
      <c r="B10">
        <v>0</v>
      </c>
      <c r="C10">
        <v>21146.469319395699</v>
      </c>
      <c r="D10">
        <v>21935.5139755776</v>
      </c>
      <c r="F10" s="1">
        <f t="shared" si="3"/>
        <v>21.146469319395699</v>
      </c>
      <c r="G10" s="1">
        <f t="shared" si="2"/>
        <v>21.935513975577599</v>
      </c>
      <c r="H10" s="1"/>
    </row>
    <row r="11" spans="1:8" x14ac:dyDescent="0.2">
      <c r="A11" t="s">
        <v>27</v>
      </c>
      <c r="B11">
        <v>426.52405688161201</v>
      </c>
      <c r="C11">
        <v>3359.2980661567899</v>
      </c>
      <c r="D11">
        <v>4017.4430724000399</v>
      </c>
      <c r="F11" s="1">
        <f t="shared" si="3"/>
        <v>2.9327740092751782</v>
      </c>
      <c r="G11" s="1">
        <f t="shared" si="2"/>
        <v>3.5909190155184278</v>
      </c>
      <c r="H11" s="1"/>
    </row>
    <row r="12" spans="1:8" x14ac:dyDescent="0.2">
      <c r="A12" t="s">
        <v>35</v>
      </c>
      <c r="B12">
        <v>12653.056142650101</v>
      </c>
      <c r="C12">
        <v>12659.917249407499</v>
      </c>
      <c r="D12">
        <v>15255.112093223601</v>
      </c>
      <c r="F12" s="1">
        <f t="shared" si="3"/>
        <v>6.8611067573983745E-3</v>
      </c>
      <c r="G12" s="1">
        <f t="shared" si="2"/>
        <v>2.6020559505735004</v>
      </c>
      <c r="H12" s="1"/>
    </row>
    <row r="13" spans="1:8" x14ac:dyDescent="0.2">
      <c r="A13" t="s">
        <v>32</v>
      </c>
      <c r="B13">
        <v>0</v>
      </c>
      <c r="C13">
        <v>105464.120458424</v>
      </c>
      <c r="D13">
        <v>0</v>
      </c>
      <c r="F13" s="1">
        <f t="shared" si="3"/>
        <v>105.46412045842401</v>
      </c>
      <c r="G13" s="1">
        <f t="shared" si="2"/>
        <v>0</v>
      </c>
      <c r="H13" s="1"/>
    </row>
    <row r="14" spans="1:8" x14ac:dyDescent="0.2">
      <c r="A14" t="s">
        <v>26</v>
      </c>
      <c r="B14">
        <v>0</v>
      </c>
      <c r="C14">
        <v>0</v>
      </c>
      <c r="D14">
        <v>0</v>
      </c>
      <c r="F14" s="1">
        <f t="shared" si="3"/>
        <v>0</v>
      </c>
      <c r="G14" s="1">
        <f t="shared" si="2"/>
        <v>0</v>
      </c>
      <c r="H14" s="1"/>
    </row>
    <row r="15" spans="1:8" x14ac:dyDescent="0.2">
      <c r="A15" t="s">
        <v>28</v>
      </c>
      <c r="B15">
        <v>0</v>
      </c>
      <c r="C15">
        <v>0</v>
      </c>
      <c r="D15">
        <v>0</v>
      </c>
      <c r="F15" s="1">
        <f t="shared" si="3"/>
        <v>0</v>
      </c>
      <c r="G15" s="1">
        <f t="shared" si="2"/>
        <v>0</v>
      </c>
      <c r="H15" s="1"/>
    </row>
    <row r="16" spans="1:8" x14ac:dyDescent="0.2">
      <c r="A16" t="s">
        <v>30</v>
      </c>
      <c r="B16">
        <v>0</v>
      </c>
      <c r="C16">
        <v>0</v>
      </c>
      <c r="D16">
        <v>0</v>
      </c>
      <c r="F16" s="1">
        <f t="shared" si="3"/>
        <v>0</v>
      </c>
      <c r="G16" s="1">
        <f t="shared" si="2"/>
        <v>0</v>
      </c>
      <c r="H16" s="1"/>
    </row>
    <row r="17" spans="1:8" x14ac:dyDescent="0.2">
      <c r="A17" t="s">
        <v>36</v>
      </c>
      <c r="B17">
        <v>0</v>
      </c>
      <c r="C17">
        <v>0</v>
      </c>
      <c r="D17">
        <v>0</v>
      </c>
      <c r="F17" s="1">
        <f t="shared" si="3"/>
        <v>0</v>
      </c>
      <c r="G17" s="1">
        <f t="shared" si="2"/>
        <v>0</v>
      </c>
      <c r="H17" s="1"/>
    </row>
    <row r="18" spans="1:8" x14ac:dyDescent="0.2">
      <c r="A18" t="s">
        <v>13</v>
      </c>
      <c r="B18">
        <v>0</v>
      </c>
      <c r="C18">
        <v>0</v>
      </c>
      <c r="D18">
        <v>0</v>
      </c>
      <c r="F18" s="1">
        <f t="shared" si="3"/>
        <v>0</v>
      </c>
      <c r="G18" s="1">
        <f t="shared" si="2"/>
        <v>0</v>
      </c>
      <c r="H18" s="1"/>
    </row>
    <row r="19" spans="1:8" x14ac:dyDescent="0.2">
      <c r="A19" t="s">
        <v>15</v>
      </c>
      <c r="B19">
        <v>0</v>
      </c>
      <c r="C19">
        <v>0</v>
      </c>
      <c r="D19">
        <v>0</v>
      </c>
      <c r="F19" s="1">
        <f t="shared" si="3"/>
        <v>0</v>
      </c>
      <c r="G19" s="1">
        <f t="shared" si="2"/>
        <v>0</v>
      </c>
      <c r="H19" s="1"/>
    </row>
    <row r="20" spans="1:8" x14ac:dyDescent="0.2">
      <c r="A20" t="s">
        <v>16</v>
      </c>
      <c r="B20">
        <v>0</v>
      </c>
      <c r="C20">
        <v>0</v>
      </c>
      <c r="D20">
        <v>0</v>
      </c>
      <c r="F20" s="1">
        <f t="shared" si="3"/>
        <v>0</v>
      </c>
      <c r="G20" s="1">
        <f t="shared" si="2"/>
        <v>0</v>
      </c>
      <c r="H20" s="1"/>
    </row>
    <row r="21" spans="1:8" x14ac:dyDescent="0.2">
      <c r="A21" t="s">
        <v>17</v>
      </c>
      <c r="B21">
        <v>0</v>
      </c>
      <c r="C21">
        <v>0</v>
      </c>
      <c r="D21">
        <v>0</v>
      </c>
      <c r="F21" s="1">
        <f t="shared" si="3"/>
        <v>0</v>
      </c>
      <c r="G21" s="1">
        <f t="shared" si="2"/>
        <v>0</v>
      </c>
      <c r="H21" s="1"/>
    </row>
    <row r="22" spans="1:8" x14ac:dyDescent="0.2">
      <c r="A22" t="s">
        <v>39</v>
      </c>
      <c r="B22">
        <v>1640.9435267654201</v>
      </c>
      <c r="C22">
        <v>1329.7905082049699</v>
      </c>
      <c r="D22">
        <v>1329.7905082049699</v>
      </c>
      <c r="F22" s="1">
        <f t="shared" si="3"/>
        <v>-0.31115301856045013</v>
      </c>
      <c r="G22" s="1">
        <f t="shared" si="2"/>
        <v>-0.31115301856045013</v>
      </c>
      <c r="H22" s="1"/>
    </row>
    <row r="23" spans="1:8" x14ac:dyDescent="0.2">
      <c r="A23" t="s">
        <v>5</v>
      </c>
      <c r="B23">
        <v>18448.6326461914</v>
      </c>
      <c r="C23">
        <v>11009.431999128199</v>
      </c>
      <c r="D23">
        <v>12531.1723948408</v>
      </c>
      <c r="F23" s="1">
        <f t="shared" si="3"/>
        <v>-7.4392006470631999</v>
      </c>
      <c r="G23" s="1">
        <f t="shared" si="2"/>
        <v>-5.9174602513505992</v>
      </c>
      <c r="H23" s="1"/>
    </row>
    <row r="24" spans="1:8" x14ac:dyDescent="0.2">
      <c r="A24" t="s">
        <v>34</v>
      </c>
      <c r="B24">
        <v>11702.0062873348</v>
      </c>
      <c r="C24">
        <v>0</v>
      </c>
      <c r="D24">
        <v>0</v>
      </c>
      <c r="F24" s="1">
        <f t="shared" si="3"/>
        <v>-11.702006287334799</v>
      </c>
      <c r="G24" s="1">
        <f t="shared" si="2"/>
        <v>-11.702006287334799</v>
      </c>
      <c r="H24" s="1"/>
    </row>
    <row r="25" spans="1:8" x14ac:dyDescent="0.2">
      <c r="A25" t="s">
        <v>29</v>
      </c>
      <c r="B25">
        <v>18713.252656983401</v>
      </c>
      <c r="C25">
        <v>3889.7300063539301</v>
      </c>
      <c r="D25">
        <v>3886.6551106276202</v>
      </c>
      <c r="F25" s="1">
        <f t="shared" si="3"/>
        <v>-14.823522650629471</v>
      </c>
      <c r="G25" s="1">
        <f t="shared" si="2"/>
        <v>-14.826597546355782</v>
      </c>
      <c r="H25" s="1"/>
    </row>
    <row r="26" spans="1:8" x14ac:dyDescent="0.2">
      <c r="A26" t="s">
        <v>37</v>
      </c>
      <c r="B26">
        <v>15234.410398518899</v>
      </c>
      <c r="C26">
        <v>0</v>
      </c>
      <c r="D26">
        <v>0</v>
      </c>
      <c r="F26" s="1">
        <f t="shared" si="3"/>
        <v>-15.2344103985189</v>
      </c>
      <c r="G26" s="1">
        <f t="shared" si="2"/>
        <v>-15.2344103985189</v>
      </c>
      <c r="H26" s="1"/>
    </row>
    <row r="27" spans="1:8" x14ac:dyDescent="0.2">
      <c r="A27" t="s">
        <v>31</v>
      </c>
      <c r="B27">
        <v>72686.072219993701</v>
      </c>
      <c r="C27">
        <v>12893.3715740118</v>
      </c>
      <c r="D27">
        <v>13760.208436231</v>
      </c>
      <c r="F27" s="1">
        <f t="shared" si="3"/>
        <v>-59.792700645981903</v>
      </c>
      <c r="G27" s="1">
        <f t="shared" si="2"/>
        <v>-58.925863783762701</v>
      </c>
      <c r="H27" s="1"/>
    </row>
    <row r="28" spans="1:8" x14ac:dyDescent="0.2">
      <c r="F28" s="1"/>
      <c r="G28" s="1"/>
      <c r="H28" s="1"/>
    </row>
    <row r="29" spans="1:8" x14ac:dyDescent="0.2">
      <c r="C29" s="3">
        <f>+(SUM(C7:C27)*1000000)/1000000000</f>
        <v>269.12568955096089</v>
      </c>
      <c r="D29" s="3">
        <f>+(SUM(D7:D27)*1000000)/1000000000</f>
        <v>286.40320023927154</v>
      </c>
      <c r="F29" s="1">
        <f>+SUM(F2:F27)</f>
        <v>80.694903602996447</v>
      </c>
      <c r="G29" s="1">
        <f>+SUM(G2:G27)</f>
        <v>97.972414291307047</v>
      </c>
      <c r="H29" s="1"/>
    </row>
    <row r="30" spans="1:8" x14ac:dyDescent="0.2">
      <c r="F30" s="1"/>
      <c r="G30" s="1"/>
      <c r="H30" s="1"/>
    </row>
    <row r="31" spans="1:8" x14ac:dyDescent="0.2">
      <c r="A31" t="s">
        <v>10</v>
      </c>
      <c r="B31">
        <v>947.75524066492801</v>
      </c>
      <c r="C31">
        <v>7409.7690004925498</v>
      </c>
      <c r="D31">
        <v>7503.3406284259599</v>
      </c>
      <c r="F31" s="1">
        <f>(+(C31-B31)*1000000)/1000000000</f>
        <v>6.4620137598276211</v>
      </c>
      <c r="G31" s="1">
        <f>(+(D31-B31)*1000000)/1000000000</f>
        <v>6.5555853877610311</v>
      </c>
      <c r="H31" s="1"/>
    </row>
    <row r="32" spans="1:8" x14ac:dyDescent="0.2">
      <c r="A32" t="s">
        <v>11</v>
      </c>
      <c r="B32">
        <v>434.94302734791899</v>
      </c>
      <c r="C32">
        <v>336.91356038633302</v>
      </c>
      <c r="D32">
        <v>340.26703279822499</v>
      </c>
      <c r="F32" s="1">
        <f t="shared" ref="F32:F43" si="4">(+(C32-B32)*1000000)/1000000000</f>
        <v>-9.8029466961585973E-2</v>
      </c>
      <c r="G32" s="1">
        <f t="shared" ref="G32:G44" si="5">(+(D32-B32)*1000000)/1000000000</f>
        <v>-9.4675994549693998E-2</v>
      </c>
      <c r="H32" s="1"/>
    </row>
    <row r="33" spans="1:8" x14ac:dyDescent="0.2">
      <c r="A33" t="s">
        <v>4</v>
      </c>
      <c r="B33">
        <v>22844.332432390202</v>
      </c>
      <c r="C33">
        <v>12013.129380391099</v>
      </c>
      <c r="D33">
        <v>12062.8681377424</v>
      </c>
      <c r="F33" s="1">
        <f t="shared" si="4"/>
        <v>-10.831203051999102</v>
      </c>
      <c r="G33" s="1">
        <f t="shared" si="5"/>
        <v>-10.781464294647803</v>
      </c>
      <c r="H33" s="1"/>
    </row>
    <row r="34" spans="1:8" x14ac:dyDescent="0.2">
      <c r="A34" t="s">
        <v>18</v>
      </c>
      <c r="B34">
        <v>0</v>
      </c>
      <c r="C34">
        <v>0</v>
      </c>
      <c r="D34">
        <v>0</v>
      </c>
      <c r="F34" s="1">
        <f t="shared" si="4"/>
        <v>0</v>
      </c>
      <c r="G34" s="1">
        <f t="shared" si="5"/>
        <v>0</v>
      </c>
      <c r="H34" s="1"/>
    </row>
    <row r="35" spans="1:8" x14ac:dyDescent="0.2">
      <c r="A35" t="s">
        <v>1</v>
      </c>
      <c r="B35">
        <v>212198.09283199199</v>
      </c>
      <c r="C35">
        <v>70028.923317788503</v>
      </c>
      <c r="D35">
        <v>70908.239194793903</v>
      </c>
      <c r="F35" s="1">
        <f t="shared" si="4"/>
        <v>-142.1691695142035</v>
      </c>
      <c r="G35" s="1">
        <f t="shared" si="5"/>
        <v>-141.28985363719809</v>
      </c>
      <c r="H35" s="1"/>
    </row>
    <row r="36" spans="1:8" x14ac:dyDescent="0.2">
      <c r="A36" t="s">
        <v>19</v>
      </c>
      <c r="B36">
        <v>0</v>
      </c>
      <c r="C36">
        <v>111178.423230432</v>
      </c>
      <c r="D36">
        <v>0</v>
      </c>
      <c r="F36" s="1">
        <f t="shared" si="4"/>
        <v>111.178423230432</v>
      </c>
      <c r="G36" s="1">
        <f t="shared" si="5"/>
        <v>0</v>
      </c>
      <c r="H36" s="1"/>
    </row>
    <row r="37" spans="1:8" x14ac:dyDescent="0.2">
      <c r="A37" t="s">
        <v>9</v>
      </c>
      <c r="B37">
        <v>3015.20375949655</v>
      </c>
      <c r="C37">
        <v>7201.0416789227002</v>
      </c>
      <c r="D37">
        <v>20636.9398860488</v>
      </c>
      <c r="F37" s="1">
        <f t="shared" si="4"/>
        <v>4.1858379194261506</v>
      </c>
      <c r="G37" s="1">
        <f t="shared" si="5"/>
        <v>17.62173612655225</v>
      </c>
      <c r="H37" s="1"/>
    </row>
    <row r="38" spans="1:8" x14ac:dyDescent="0.2">
      <c r="A38" t="s">
        <v>3</v>
      </c>
      <c r="B38">
        <v>27008.643545832801</v>
      </c>
      <c r="C38">
        <v>23758.235203411601</v>
      </c>
      <c r="D38">
        <v>23764.600095960701</v>
      </c>
      <c r="F38" s="1">
        <f t="shared" si="4"/>
        <v>-3.2504083424212005</v>
      </c>
      <c r="G38" s="1">
        <f t="shared" si="5"/>
        <v>-3.2440434498721009</v>
      </c>
      <c r="H38" s="1"/>
    </row>
    <row r="39" spans="1:8" x14ac:dyDescent="0.2">
      <c r="A39" t="s">
        <v>7</v>
      </c>
      <c r="B39">
        <v>4376.1932716875299</v>
      </c>
      <c r="C39">
        <v>4377.5835610615104</v>
      </c>
      <c r="D39">
        <v>4755.4588333034599</v>
      </c>
      <c r="F39" s="1">
        <f t="shared" si="4"/>
        <v>1.3902893739805222E-3</v>
      </c>
      <c r="G39" s="1">
        <f t="shared" si="5"/>
        <v>0.37926556161592995</v>
      </c>
      <c r="H39" s="1"/>
    </row>
    <row r="40" spans="1:8" x14ac:dyDescent="0.2">
      <c r="A40" t="s">
        <v>20</v>
      </c>
      <c r="B40">
        <v>0</v>
      </c>
      <c r="C40">
        <v>0</v>
      </c>
      <c r="D40">
        <v>0</v>
      </c>
      <c r="F40" s="1">
        <f t="shared" si="4"/>
        <v>0</v>
      </c>
      <c r="G40" s="1">
        <f t="shared" si="5"/>
        <v>0</v>
      </c>
      <c r="H40" s="1"/>
    </row>
    <row r="41" spans="1:8" x14ac:dyDescent="0.2">
      <c r="A41" t="s">
        <v>2</v>
      </c>
      <c r="B41">
        <v>123559.047818151</v>
      </c>
      <c r="C41">
        <v>44687.632506136601</v>
      </c>
      <c r="D41">
        <v>45120.321968410302</v>
      </c>
      <c r="F41" s="1">
        <f t="shared" si="4"/>
        <v>-78.871415312014406</v>
      </c>
      <c r="G41" s="1">
        <f t="shared" si="5"/>
        <v>-78.438725849740706</v>
      </c>
      <c r="H41" s="1"/>
    </row>
    <row r="42" spans="1:8" x14ac:dyDescent="0.2">
      <c r="A42" t="s">
        <v>8</v>
      </c>
      <c r="B42">
        <v>4266.3099695089504</v>
      </c>
      <c r="C42">
        <v>7879.6830565830096</v>
      </c>
      <c r="D42">
        <v>17141.593266996701</v>
      </c>
      <c r="F42" s="1">
        <f t="shared" si="4"/>
        <v>3.6133730870740588</v>
      </c>
      <c r="G42" s="1">
        <f t="shared" si="5"/>
        <v>12.87528329748775</v>
      </c>
      <c r="H42" s="1"/>
    </row>
    <row r="43" spans="1:8" x14ac:dyDescent="0.2">
      <c r="A43" t="s">
        <v>12</v>
      </c>
      <c r="B43">
        <v>3.7999999999999999E-2</v>
      </c>
      <c r="C43">
        <v>3.7999999999999999E-2</v>
      </c>
      <c r="D43">
        <v>3.7999999999999999E-2</v>
      </c>
      <c r="F43" s="1">
        <f t="shared" si="4"/>
        <v>0</v>
      </c>
      <c r="G43" s="1">
        <f t="shared" si="5"/>
        <v>0</v>
      </c>
      <c r="H43" s="1"/>
    </row>
    <row r="44" spans="1:8" x14ac:dyDescent="0.2">
      <c r="A44" t="s">
        <v>6</v>
      </c>
      <c r="B44">
        <v>14350.6175441134</v>
      </c>
      <c r="C44">
        <v>32027.850238372499</v>
      </c>
      <c r="D44">
        <v>49118.170651545603</v>
      </c>
      <c r="F44" s="1">
        <f>(+(C44-B44)*1000000)/1000000000</f>
        <v>17.677232694259096</v>
      </c>
      <c r="G44" s="1">
        <f t="shared" si="5"/>
        <v>34.767553107432207</v>
      </c>
      <c r="H44" s="1"/>
    </row>
    <row r="46" spans="1:8" x14ac:dyDescent="0.2">
      <c r="C46" s="3">
        <f>+(SUM(C31:C44)*1000000)/1000000000</f>
        <v>320.89922273397832</v>
      </c>
      <c r="D46" s="3">
        <f>+(SUM(D31:D44)*1000000)/1000000000</f>
        <v>251.35183769602605</v>
      </c>
      <c r="F46" s="1">
        <f>+SUM(F31:F44)</f>
        <v>-92.101954707206886</v>
      </c>
      <c r="G46" s="1">
        <f>+SUM(G31:G44)</f>
        <v>-161.64933974515921</v>
      </c>
    </row>
  </sheetData>
  <autoFilter ref="A1:G27" xr:uid="{83CB44AF-5B2B-744C-9A6C-87524724FE4F}">
    <sortState xmlns:xlrd2="http://schemas.microsoft.com/office/spreadsheetml/2017/richdata2" ref="A7:G27">
      <sortCondition descending="1" ref="G1:G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nemomod_entc_capex_opex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created xsi:type="dcterms:W3CDTF">2026-02-10T00:46:55Z</dcterms:created>
  <dcterms:modified xsi:type="dcterms:W3CDTF">2026-02-12T05:35:13Z</dcterms:modified>
</cp:coreProperties>
</file>