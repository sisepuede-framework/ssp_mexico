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exico/ssp_modeling/cost-benefits/output/"/>
    </mc:Choice>
  </mc:AlternateContent>
  <xr:revisionPtr revIDLastSave="0" documentId="13_ncr:1_{397875C7-7837-3A41-A505-C62B10073A3C}" xr6:coauthVersionLast="47" xr6:coauthVersionMax="47" xr10:uidLastSave="{00000000-0000-0000-0000-000000000000}"/>
  <bookViews>
    <workbookView xWindow="-38400" yWindow="-620" windowWidth="38400" windowHeight="21000" xr2:uid="{F22A3206-663C-EA4A-86F1-23370D98B302}"/>
  </bookViews>
  <sheets>
    <sheet name="capex" sheetId="2" r:id="rId1"/>
    <sheet name="opex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4" i="2" l="1"/>
  <c r="U204" i="2"/>
  <c r="T204" i="2"/>
  <c r="S204" i="2"/>
  <c r="R204" i="2"/>
  <c r="Q204" i="2"/>
  <c r="P204" i="2"/>
  <c r="O204" i="2"/>
  <c r="N204" i="2"/>
  <c r="M204" i="2"/>
  <c r="L204" i="2"/>
  <c r="K204" i="2"/>
  <c r="X204" i="2" s="1"/>
  <c r="J204" i="2"/>
  <c r="I204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V200" i="2"/>
  <c r="U200" i="2"/>
  <c r="T200" i="2"/>
  <c r="S200" i="2"/>
  <c r="X200" i="2" s="1"/>
  <c r="R200" i="2"/>
  <c r="Q200" i="2"/>
  <c r="P200" i="2"/>
  <c r="O200" i="2"/>
  <c r="N200" i="2"/>
  <c r="M200" i="2"/>
  <c r="L200" i="2"/>
  <c r="K200" i="2"/>
  <c r="J200" i="2"/>
  <c r="I200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X196" i="2" s="1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X192" i="2" s="1"/>
  <c r="J192" i="2"/>
  <c r="I192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X188" i="2" s="1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X184" i="2" s="1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X180" i="2" s="1"/>
  <c r="J180" i="2"/>
  <c r="I180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V172" i="2"/>
  <c r="U172" i="2"/>
  <c r="T172" i="2"/>
  <c r="S172" i="2"/>
  <c r="R172" i="2"/>
  <c r="Q172" i="2"/>
  <c r="P172" i="2"/>
  <c r="P206" i="2" s="1"/>
  <c r="O172" i="2"/>
  <c r="N172" i="2"/>
  <c r="M172" i="2"/>
  <c r="L172" i="2"/>
  <c r="K172" i="2"/>
  <c r="J172" i="2"/>
  <c r="I172" i="2"/>
  <c r="X172" i="2" s="1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V170" i="2"/>
  <c r="U170" i="2"/>
  <c r="T170" i="2"/>
  <c r="T206" i="2" s="1"/>
  <c r="S170" i="2"/>
  <c r="S206" i="2" s="1"/>
  <c r="R170" i="2"/>
  <c r="Q170" i="2"/>
  <c r="P170" i="2"/>
  <c r="O170" i="2"/>
  <c r="N170" i="2"/>
  <c r="M170" i="2"/>
  <c r="L170" i="2"/>
  <c r="K170" i="2"/>
  <c r="J170" i="2"/>
  <c r="I170" i="2"/>
  <c r="V169" i="2"/>
  <c r="V206" i="2" s="1"/>
  <c r="U169" i="2"/>
  <c r="U206" i="2" s="1"/>
  <c r="T169" i="2"/>
  <c r="S169" i="2"/>
  <c r="R169" i="2"/>
  <c r="Q169" i="2"/>
  <c r="P169" i="2"/>
  <c r="O169" i="2"/>
  <c r="N169" i="2"/>
  <c r="M169" i="2"/>
  <c r="L169" i="2"/>
  <c r="K169" i="2"/>
  <c r="J169" i="2"/>
  <c r="J206" i="2" s="1"/>
  <c r="I169" i="2"/>
  <c r="I206" i="2" s="1"/>
  <c r="V168" i="2"/>
  <c r="U168" i="2"/>
  <c r="T168" i="2"/>
  <c r="S168" i="2"/>
  <c r="R168" i="2"/>
  <c r="R206" i="2" s="1"/>
  <c r="Q168" i="2"/>
  <c r="Q206" i="2" s="1"/>
  <c r="P168" i="2"/>
  <c r="O168" i="2"/>
  <c r="N168" i="2"/>
  <c r="M168" i="2"/>
  <c r="L168" i="2"/>
  <c r="L206" i="2" s="1"/>
  <c r="K168" i="2"/>
  <c r="X168" i="2" s="1"/>
  <c r="J168" i="2"/>
  <c r="I168" i="2"/>
  <c r="V167" i="2"/>
  <c r="U167" i="2"/>
  <c r="T167" i="2"/>
  <c r="S167" i="2"/>
  <c r="R167" i="2"/>
  <c r="Q167" i="2"/>
  <c r="P167" i="2"/>
  <c r="O167" i="2"/>
  <c r="O206" i="2" s="1"/>
  <c r="N167" i="2"/>
  <c r="N206" i="2" s="1"/>
  <c r="M167" i="2"/>
  <c r="M206" i="2" s="1"/>
  <c r="L167" i="2"/>
  <c r="K167" i="2"/>
  <c r="J167" i="2"/>
  <c r="I167" i="2"/>
  <c r="H204" i="2"/>
  <c r="G204" i="2"/>
  <c r="F204" i="2"/>
  <c r="E204" i="2"/>
  <c r="D204" i="2"/>
  <c r="C204" i="2"/>
  <c r="H203" i="2"/>
  <c r="G203" i="2"/>
  <c r="F203" i="2"/>
  <c r="E203" i="2"/>
  <c r="D203" i="2"/>
  <c r="C203" i="2"/>
  <c r="H202" i="2"/>
  <c r="G202" i="2"/>
  <c r="F202" i="2"/>
  <c r="E202" i="2"/>
  <c r="D202" i="2"/>
  <c r="C202" i="2"/>
  <c r="H201" i="2"/>
  <c r="G201" i="2"/>
  <c r="F201" i="2"/>
  <c r="E201" i="2"/>
  <c r="D201" i="2"/>
  <c r="C201" i="2"/>
  <c r="H200" i="2"/>
  <c r="G200" i="2"/>
  <c r="F200" i="2"/>
  <c r="E200" i="2"/>
  <c r="D200" i="2"/>
  <c r="C200" i="2"/>
  <c r="H199" i="2"/>
  <c r="G199" i="2"/>
  <c r="F199" i="2"/>
  <c r="E199" i="2"/>
  <c r="D199" i="2"/>
  <c r="C199" i="2"/>
  <c r="H198" i="2"/>
  <c r="G198" i="2"/>
  <c r="F198" i="2"/>
  <c r="E198" i="2"/>
  <c r="D198" i="2"/>
  <c r="C198" i="2"/>
  <c r="X198" i="2" s="1"/>
  <c r="H197" i="2"/>
  <c r="G197" i="2"/>
  <c r="F197" i="2"/>
  <c r="E197" i="2"/>
  <c r="D197" i="2"/>
  <c r="C197" i="2"/>
  <c r="H196" i="2"/>
  <c r="G196" i="2"/>
  <c r="F196" i="2"/>
  <c r="E196" i="2"/>
  <c r="D196" i="2"/>
  <c r="C196" i="2"/>
  <c r="H195" i="2"/>
  <c r="G195" i="2"/>
  <c r="F195" i="2"/>
  <c r="E195" i="2"/>
  <c r="D195" i="2"/>
  <c r="C195" i="2"/>
  <c r="H194" i="2"/>
  <c r="G194" i="2"/>
  <c r="F194" i="2"/>
  <c r="E194" i="2"/>
  <c r="D194" i="2"/>
  <c r="C194" i="2"/>
  <c r="H193" i="2"/>
  <c r="G193" i="2"/>
  <c r="F193" i="2"/>
  <c r="E193" i="2"/>
  <c r="D193" i="2"/>
  <c r="C193" i="2"/>
  <c r="H192" i="2"/>
  <c r="G192" i="2"/>
  <c r="F192" i="2"/>
  <c r="E192" i="2"/>
  <c r="D192" i="2"/>
  <c r="C192" i="2"/>
  <c r="H191" i="2"/>
  <c r="G191" i="2"/>
  <c r="F191" i="2"/>
  <c r="E191" i="2"/>
  <c r="D191" i="2"/>
  <c r="C191" i="2"/>
  <c r="H190" i="2"/>
  <c r="G190" i="2"/>
  <c r="F190" i="2"/>
  <c r="E190" i="2"/>
  <c r="D190" i="2"/>
  <c r="C190" i="2"/>
  <c r="H189" i="2"/>
  <c r="G189" i="2"/>
  <c r="F189" i="2"/>
  <c r="E189" i="2"/>
  <c r="D189" i="2"/>
  <c r="C189" i="2"/>
  <c r="H188" i="2"/>
  <c r="G188" i="2"/>
  <c r="F188" i="2"/>
  <c r="E188" i="2"/>
  <c r="D188" i="2"/>
  <c r="C188" i="2"/>
  <c r="H187" i="2"/>
  <c r="G187" i="2"/>
  <c r="F187" i="2"/>
  <c r="E187" i="2"/>
  <c r="D187" i="2"/>
  <c r="C187" i="2"/>
  <c r="H186" i="2"/>
  <c r="G186" i="2"/>
  <c r="F186" i="2"/>
  <c r="E186" i="2"/>
  <c r="D186" i="2"/>
  <c r="C186" i="2"/>
  <c r="H185" i="2"/>
  <c r="G185" i="2"/>
  <c r="F185" i="2"/>
  <c r="E185" i="2"/>
  <c r="D185" i="2"/>
  <c r="C185" i="2"/>
  <c r="H184" i="2"/>
  <c r="G184" i="2"/>
  <c r="F184" i="2"/>
  <c r="E184" i="2"/>
  <c r="D184" i="2"/>
  <c r="C184" i="2"/>
  <c r="H183" i="2"/>
  <c r="G183" i="2"/>
  <c r="F183" i="2"/>
  <c r="E183" i="2"/>
  <c r="D183" i="2"/>
  <c r="C183" i="2"/>
  <c r="H182" i="2"/>
  <c r="G182" i="2"/>
  <c r="F182" i="2"/>
  <c r="E182" i="2"/>
  <c r="D182" i="2"/>
  <c r="C182" i="2"/>
  <c r="H181" i="2"/>
  <c r="G181" i="2"/>
  <c r="F181" i="2"/>
  <c r="E181" i="2"/>
  <c r="D181" i="2"/>
  <c r="C181" i="2"/>
  <c r="H180" i="2"/>
  <c r="G180" i="2"/>
  <c r="F180" i="2"/>
  <c r="E180" i="2"/>
  <c r="D180" i="2"/>
  <c r="C180" i="2"/>
  <c r="H179" i="2"/>
  <c r="G179" i="2"/>
  <c r="F179" i="2"/>
  <c r="E179" i="2"/>
  <c r="D179" i="2"/>
  <c r="C179" i="2"/>
  <c r="H178" i="2"/>
  <c r="G178" i="2"/>
  <c r="F178" i="2"/>
  <c r="E178" i="2"/>
  <c r="D178" i="2"/>
  <c r="C178" i="2"/>
  <c r="H177" i="2"/>
  <c r="G177" i="2"/>
  <c r="F177" i="2"/>
  <c r="E177" i="2"/>
  <c r="D177" i="2"/>
  <c r="C177" i="2"/>
  <c r="X176" i="2"/>
  <c r="H176" i="2"/>
  <c r="G176" i="2"/>
  <c r="F176" i="2"/>
  <c r="E176" i="2"/>
  <c r="D176" i="2"/>
  <c r="C176" i="2"/>
  <c r="H175" i="2"/>
  <c r="G175" i="2"/>
  <c r="F175" i="2"/>
  <c r="E175" i="2"/>
  <c r="D175" i="2"/>
  <c r="C175" i="2"/>
  <c r="H174" i="2"/>
  <c r="G174" i="2"/>
  <c r="F174" i="2"/>
  <c r="E174" i="2"/>
  <c r="D174" i="2"/>
  <c r="C174" i="2"/>
  <c r="H173" i="2"/>
  <c r="G173" i="2"/>
  <c r="F173" i="2"/>
  <c r="E173" i="2"/>
  <c r="D173" i="2"/>
  <c r="C173" i="2"/>
  <c r="H172" i="2"/>
  <c r="G172" i="2"/>
  <c r="F172" i="2"/>
  <c r="E172" i="2"/>
  <c r="D172" i="2"/>
  <c r="C172" i="2"/>
  <c r="H171" i="2"/>
  <c r="G171" i="2"/>
  <c r="F171" i="2"/>
  <c r="E171" i="2"/>
  <c r="D171" i="2"/>
  <c r="C171" i="2"/>
  <c r="H170" i="2"/>
  <c r="G170" i="2"/>
  <c r="F170" i="2"/>
  <c r="E170" i="2"/>
  <c r="D170" i="2"/>
  <c r="C170" i="2"/>
  <c r="H169" i="2"/>
  <c r="G169" i="2"/>
  <c r="F169" i="2"/>
  <c r="E169" i="2"/>
  <c r="D169" i="2"/>
  <c r="C169" i="2"/>
  <c r="H168" i="2"/>
  <c r="G168" i="2"/>
  <c r="F168" i="2"/>
  <c r="E168" i="2"/>
  <c r="E206" i="2" s="1"/>
  <c r="D168" i="2"/>
  <c r="D206" i="2" s="1"/>
  <c r="C168" i="2"/>
  <c r="C206" i="2" s="1"/>
  <c r="H167" i="2"/>
  <c r="H206" i="2" s="1"/>
  <c r="G167" i="2"/>
  <c r="G206" i="2" s="1"/>
  <c r="F167" i="2"/>
  <c r="F206" i="2" s="1"/>
  <c r="E167" i="2"/>
  <c r="D167" i="2"/>
  <c r="C167" i="2"/>
  <c r="X122" i="2"/>
  <c r="I122" i="2"/>
  <c r="X202" i="2" l="1"/>
  <c r="X171" i="2"/>
  <c r="X181" i="2"/>
  <c r="X175" i="2"/>
  <c r="X185" i="2"/>
  <c r="K206" i="2"/>
  <c r="X179" i="2"/>
  <c r="X189" i="2"/>
  <c r="X170" i="2"/>
  <c r="X183" i="2"/>
  <c r="X193" i="2"/>
  <c r="X177" i="2"/>
  <c r="X174" i="2"/>
  <c r="X191" i="2"/>
  <c r="X182" i="2"/>
  <c r="X195" i="2"/>
  <c r="X190" i="2"/>
  <c r="X203" i="2"/>
  <c r="X173" i="2"/>
  <c r="X187" i="2"/>
  <c r="X197" i="2"/>
  <c r="X178" i="2"/>
  <c r="X201" i="2"/>
  <c r="X169" i="2"/>
  <c r="X186" i="2"/>
  <c r="X199" i="2"/>
  <c r="X194" i="2"/>
  <c r="X167" i="2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K104" i="2"/>
  <c r="K10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39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C167" i="5"/>
  <c r="C83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C85" i="2"/>
  <c r="X85" i="2" s="1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C88" i="2"/>
  <c r="X88" i="2" s="1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C100" i="2"/>
  <c r="D100" i="2"/>
  <c r="E100" i="2"/>
  <c r="F100" i="2"/>
  <c r="G100" i="2"/>
  <c r="H100" i="2"/>
  <c r="I100" i="2"/>
  <c r="J100" i="2"/>
  <c r="L100" i="2"/>
  <c r="M100" i="2"/>
  <c r="N100" i="2"/>
  <c r="O100" i="2"/>
  <c r="P100" i="2"/>
  <c r="Q100" i="2"/>
  <c r="R100" i="2"/>
  <c r="S100" i="2"/>
  <c r="T100" i="2"/>
  <c r="U100" i="2"/>
  <c r="V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C104" i="2"/>
  <c r="D104" i="2"/>
  <c r="E104" i="2"/>
  <c r="F104" i="2"/>
  <c r="G104" i="2"/>
  <c r="H104" i="2"/>
  <c r="I104" i="2"/>
  <c r="J104" i="2"/>
  <c r="L104" i="2"/>
  <c r="M104" i="2"/>
  <c r="N104" i="2"/>
  <c r="O104" i="2"/>
  <c r="P104" i="2"/>
  <c r="Q104" i="2"/>
  <c r="R104" i="2"/>
  <c r="S104" i="2"/>
  <c r="T104" i="2"/>
  <c r="U104" i="2"/>
  <c r="V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C83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N40" i="2"/>
  <c r="O40" i="2"/>
  <c r="P40" i="2"/>
  <c r="Q40" i="2"/>
  <c r="R40" i="2"/>
  <c r="S40" i="2"/>
  <c r="T40" i="2"/>
  <c r="U40" i="2"/>
  <c r="V40" i="2"/>
  <c r="C40" i="2"/>
  <c r="D40" i="2"/>
  <c r="E40" i="2"/>
  <c r="F40" i="2"/>
  <c r="G40" i="2"/>
  <c r="H40" i="2"/>
  <c r="I40" i="2"/>
  <c r="J40" i="2"/>
  <c r="K40" i="2"/>
  <c r="L40" i="2"/>
  <c r="M40" i="2"/>
  <c r="X206" i="2" l="1"/>
  <c r="X198" i="5"/>
  <c r="X186" i="5"/>
  <c r="X174" i="5"/>
  <c r="G206" i="5"/>
  <c r="S206" i="5"/>
  <c r="X200" i="5"/>
  <c r="X188" i="5"/>
  <c r="X176" i="5"/>
  <c r="Q206" i="5"/>
  <c r="O206" i="5"/>
  <c r="X40" i="5"/>
  <c r="M206" i="5"/>
  <c r="X184" i="5"/>
  <c r="X193" i="5"/>
  <c r="C206" i="5"/>
  <c r="X192" i="5"/>
  <c r="X180" i="5"/>
  <c r="X168" i="5"/>
  <c r="X204" i="5"/>
  <c r="X199" i="5"/>
  <c r="X187" i="5"/>
  <c r="X175" i="5"/>
  <c r="N206" i="5"/>
  <c r="I206" i="5"/>
  <c r="X201" i="5"/>
  <c r="D206" i="5"/>
  <c r="X181" i="5"/>
  <c r="X177" i="5"/>
  <c r="P206" i="5"/>
  <c r="X189" i="5"/>
  <c r="X196" i="5"/>
  <c r="X203" i="5"/>
  <c r="X197" i="5"/>
  <c r="X194" i="5"/>
  <c r="X191" i="5"/>
  <c r="X185" i="5"/>
  <c r="X182" i="5"/>
  <c r="X179" i="5"/>
  <c r="X173" i="5"/>
  <c r="X170" i="5"/>
  <c r="X202" i="5"/>
  <c r="X190" i="5"/>
  <c r="X178" i="5"/>
  <c r="X172" i="5"/>
  <c r="X195" i="5"/>
  <c r="X183" i="5"/>
  <c r="X171" i="5"/>
  <c r="R206" i="5"/>
  <c r="X101" i="2"/>
  <c r="X97" i="2"/>
  <c r="X98" i="2"/>
  <c r="X113" i="2"/>
  <c r="X86" i="2"/>
  <c r="X120" i="2"/>
  <c r="X119" i="2"/>
  <c r="X117" i="2"/>
  <c r="X114" i="2"/>
  <c r="X111" i="2"/>
  <c r="X108" i="2"/>
  <c r="X107" i="2"/>
  <c r="X105" i="2"/>
  <c r="X95" i="2"/>
  <c r="X118" i="2"/>
  <c r="X106" i="2"/>
  <c r="X94" i="2"/>
  <c r="X115" i="2"/>
  <c r="X112" i="2"/>
  <c r="X109" i="2"/>
  <c r="X92" i="2"/>
  <c r="X103" i="2"/>
  <c r="X100" i="2"/>
  <c r="X91" i="2"/>
  <c r="X104" i="2"/>
  <c r="X110" i="2"/>
  <c r="X83" i="2"/>
  <c r="X89" i="2"/>
  <c r="X99" i="2"/>
  <c r="X96" i="2"/>
  <c r="X90" i="2"/>
  <c r="X87" i="2"/>
  <c r="X84" i="2"/>
  <c r="X93" i="2"/>
  <c r="X116" i="2"/>
  <c r="X102" i="2"/>
  <c r="R122" i="2"/>
  <c r="M122" i="2"/>
  <c r="V122" i="2"/>
  <c r="J122" i="2"/>
  <c r="O122" i="2"/>
  <c r="F206" i="5"/>
  <c r="E206" i="5"/>
  <c r="K206" i="5"/>
  <c r="V206" i="5"/>
  <c r="U206" i="5"/>
  <c r="X169" i="5"/>
  <c r="L206" i="5"/>
  <c r="J206" i="5"/>
  <c r="T206" i="5"/>
  <c r="H206" i="5"/>
  <c r="X167" i="5"/>
  <c r="J122" i="5"/>
  <c r="X164" i="5"/>
  <c r="X80" i="5"/>
  <c r="L122" i="5"/>
  <c r="X101" i="5"/>
  <c r="D122" i="5"/>
  <c r="Q122" i="5"/>
  <c r="X83" i="5"/>
  <c r="P122" i="5"/>
  <c r="X115" i="5"/>
  <c r="X86" i="5"/>
  <c r="X113" i="5"/>
  <c r="S122" i="5"/>
  <c r="X102" i="5"/>
  <c r="X110" i="5"/>
  <c r="X111" i="5"/>
  <c r="X114" i="5"/>
  <c r="T122" i="5"/>
  <c r="I122" i="5"/>
  <c r="U122" i="5"/>
  <c r="X99" i="5"/>
  <c r="V122" i="5"/>
  <c r="X85" i="5"/>
  <c r="F122" i="5"/>
  <c r="R122" i="5"/>
  <c r="X97" i="5"/>
  <c r="X87" i="5"/>
  <c r="X98" i="5"/>
  <c r="G122" i="5"/>
  <c r="X91" i="5"/>
  <c r="X89" i="5"/>
  <c r="X112" i="5"/>
  <c r="E122" i="5"/>
  <c r="K122" i="5"/>
  <c r="H122" i="5"/>
  <c r="X94" i="5"/>
  <c r="X95" i="5"/>
  <c r="X103" i="5"/>
  <c r="X88" i="5"/>
  <c r="X90" i="5"/>
  <c r="M122" i="5"/>
  <c r="C122" i="5"/>
  <c r="O122" i="5"/>
  <c r="X92" i="5"/>
  <c r="X93" i="5"/>
  <c r="X96" i="5"/>
  <c r="X106" i="5"/>
  <c r="X107" i="5"/>
  <c r="X118" i="5"/>
  <c r="X119" i="5"/>
  <c r="X100" i="5"/>
  <c r="X109" i="5"/>
  <c r="N122" i="5"/>
  <c r="X104" i="5"/>
  <c r="X105" i="5"/>
  <c r="X108" i="5"/>
  <c r="X116" i="5"/>
  <c r="X117" i="5"/>
  <c r="X120" i="5"/>
  <c r="X84" i="5"/>
  <c r="C122" i="2"/>
  <c r="K122" i="2"/>
  <c r="N122" i="2"/>
  <c r="S122" i="2"/>
  <c r="U122" i="2"/>
  <c r="P122" i="2"/>
  <c r="L122" i="2"/>
  <c r="D122" i="2"/>
  <c r="T122" i="2"/>
  <c r="H122" i="2"/>
  <c r="G122" i="2"/>
  <c r="F122" i="2"/>
  <c r="Q122" i="2"/>
  <c r="E122" i="2"/>
  <c r="Y40" i="2"/>
  <c r="X80" i="2"/>
  <c r="X206" i="5" l="1"/>
  <c r="X122" i="5"/>
</calcChain>
</file>

<file path=xl/sharedStrings.xml><?xml version="1.0" encoding="utf-8"?>
<sst xmlns="http://schemas.openxmlformats.org/spreadsheetml/2006/main" count="44" uniqueCount="42">
  <si>
    <t>time_period</t>
  </si>
  <si>
    <t>strategy_id</t>
  </si>
  <si>
    <t>nemomod_entc_discounted_capital_investment_fp_ammonia_production</t>
  </si>
  <si>
    <t>nemomod_entc_discounted_capital_investment_fp_hydrogen_electrolysis</t>
  </si>
  <si>
    <t>nemomod_entc_discounted_capital_investment_fp_hydrogen_gasification</t>
  </si>
  <si>
    <t>nemomod_entc_discounted_capital_investment_fp_hydrogen_reformation</t>
  </si>
  <si>
    <t>nemomod_entc_discounted_capital_investment_fp_hydrogen_reformation_ccs</t>
  </si>
  <si>
    <t>nemomod_entc_discounted_capital_investment_fp_natural_gas_liquefaction</t>
  </si>
  <si>
    <t>nemomod_entc_discounted_capital_investment_pp_biogas</t>
  </si>
  <si>
    <t>nemomod_entc_discounted_capital_investment_pp_biomass</t>
  </si>
  <si>
    <t>nemomod_entc_discounted_capital_investment_pp_coal</t>
  </si>
  <si>
    <t>nemomod_entc_discounted_capital_investment_pp_coal_ccs</t>
  </si>
  <si>
    <t>nemomod_entc_discounted_capital_investment_pp_gas</t>
  </si>
  <si>
    <t>nemomod_entc_discounted_capital_investment_pp_gas_ccs</t>
  </si>
  <si>
    <t>nemomod_entc_discounted_capital_investment_pp_geothermal</t>
  </si>
  <si>
    <t>nemomod_entc_discounted_capital_investment_pp_hydropower</t>
  </si>
  <si>
    <t>nemomod_entc_discounted_capital_investment_pp_nuclear</t>
  </si>
  <si>
    <t>nemomod_entc_discounted_capital_investment_pp_ocean</t>
  </si>
  <si>
    <t>nemomod_entc_discounted_capital_investment_pp_oil</t>
  </si>
  <si>
    <t>nemomod_entc_discounted_capital_investment_pp_solar</t>
  </si>
  <si>
    <t>nemomod_entc_discounted_capital_investment_pp_waste_incineration</t>
  </si>
  <si>
    <t>nemomod_entc_discounted_capital_investment_pp_wind</t>
  </si>
  <si>
    <t>nemomod_entc_discounted_operating_costs_fp_ammonia_production</t>
  </si>
  <si>
    <t>nemomod_entc_discounted_operating_costs_fp_hydrogen_electrolysis</t>
  </si>
  <si>
    <t>nemomod_entc_discounted_operating_costs_fp_hydrogen_gasification</t>
  </si>
  <si>
    <t>nemomod_entc_discounted_operating_costs_fp_hydrogen_reformation</t>
  </si>
  <si>
    <t>nemomod_entc_discounted_operating_costs_fp_hydrogen_reformation_ccs</t>
  </si>
  <si>
    <t>nemomod_entc_discounted_operating_costs_fp_natural_gas_liquefaction</t>
  </si>
  <si>
    <t>nemomod_entc_discounted_operating_costs_pp_biogas</t>
  </si>
  <si>
    <t>nemomod_entc_discounted_operating_costs_pp_biomass</t>
  </si>
  <si>
    <t>nemomod_entc_discounted_operating_costs_pp_coal</t>
  </si>
  <si>
    <t>nemomod_entc_discounted_operating_costs_pp_coal_ccs</t>
  </si>
  <si>
    <t>nemomod_entc_discounted_operating_costs_pp_gas</t>
  </si>
  <si>
    <t>nemomod_entc_discounted_operating_costs_pp_gas_ccs</t>
  </si>
  <si>
    <t>nemomod_entc_discounted_operating_costs_pp_geothermal</t>
  </si>
  <si>
    <t>nemomod_entc_discounted_operating_costs_pp_hydropower</t>
  </si>
  <si>
    <t>nemomod_entc_discounted_operating_costs_pp_nuclear</t>
  </si>
  <si>
    <t>nemomod_entc_discounted_operating_costs_pp_ocean</t>
  </si>
  <si>
    <t>nemomod_entc_discounted_operating_costs_pp_oil</t>
  </si>
  <si>
    <t>nemomod_entc_discounted_operating_costs_pp_solar</t>
  </si>
  <si>
    <t>nemomod_entc_discounted_operating_costs_pp_waste_incineration</t>
  </si>
  <si>
    <t>nemomod_entc_discounted_operating_costs_pp_wind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</si>
</sst>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10" xfId="0" applyBorder="1"/>
    <xf numFmtId="165" fontId="0" fillId="0" borderId="10" xfId="0" applyNumberFormat="1" applyBorder="1"/>
    <xf numFmtId="0" fontId="0" fillId="0" borderId="0" xfId="0" applyAlignment="1">
      <alignment wrapText="1"/>
    </xf>
    <xf numFmtId="2" fontId="0" fillId="33" borderId="0" xfId="0" applyNumberFormat="1" applyFill="1"/>
    <xf numFmtId="0" fontId="0" fillId="0" borderId="0" xfId="0" applyAlignment="1">
      <alignment vertical="center" wrapText="1"/>
    </xf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opex!$M$1</c:f>
              <c:strCache>
                <c:ptCount val="1"/>
                <c:pt idx="0">
                  <c:v>nemomod_entc_discounted_operating_costs_pp_gas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opex!$B$42:$B$80</c:f>
              <c:numCache>
                <c:formatCode>General</c:formatCode>
                <c:ptCount val="3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</c:numCache>
            </c:numRef>
          </c:cat>
          <c:val>
            <c:numRef>
              <c:f>opex!$M$42:$M$80</c:f>
              <c:numCache>
                <c:formatCode>General</c:formatCode>
                <c:ptCount val="39"/>
                <c:pt idx="0">
                  <c:v>3117.5190678497602</c:v>
                </c:pt>
                <c:pt idx="1">
                  <c:v>2964.57835420628</c:v>
                </c:pt>
                <c:pt idx="2">
                  <c:v>3391.92885134482</c:v>
                </c:pt>
                <c:pt idx="3">
                  <c:v>3522.91257511596</c:v>
                </c:pt>
                <c:pt idx="4">
                  <c:v>3736.8409031903202</c:v>
                </c:pt>
                <c:pt idx="5">
                  <c:v>3701.1016941696698</c:v>
                </c:pt>
                <c:pt idx="6">
                  <c:v>3411.0425528321998</c:v>
                </c:pt>
                <c:pt idx="7">
                  <c:v>3205.59500352144</c:v>
                </c:pt>
                <c:pt idx="8">
                  <c:v>3095.6326923383099</c:v>
                </c:pt>
                <c:pt idx="9">
                  <c:v>2972.1604756898701</c:v>
                </c:pt>
                <c:pt idx="10">
                  <c:v>2887.10534954491</c:v>
                </c:pt>
                <c:pt idx="11">
                  <c:v>2818.5762019447002</c:v>
                </c:pt>
                <c:pt idx="12">
                  <c:v>2771.1570940711399</c:v>
                </c:pt>
                <c:pt idx="13">
                  <c:v>2685.5650109697399</c:v>
                </c:pt>
                <c:pt idx="14">
                  <c:v>2613.1403461313498</c:v>
                </c:pt>
                <c:pt idx="15">
                  <c:v>2538.0936315293002</c:v>
                </c:pt>
                <c:pt idx="16">
                  <c:v>2404.3769739846198</c:v>
                </c:pt>
                <c:pt idx="17">
                  <c:v>2242.0271804007898</c:v>
                </c:pt>
                <c:pt idx="18">
                  <c:v>2127.29781521939</c:v>
                </c:pt>
                <c:pt idx="19">
                  <c:v>2000.0729062027399</c:v>
                </c:pt>
                <c:pt idx="20">
                  <c:v>1869.9454753743901</c:v>
                </c:pt>
                <c:pt idx="21">
                  <c:v>1731.9283467318701</c:v>
                </c:pt>
                <c:pt idx="22">
                  <c:v>1557.40469377317</c:v>
                </c:pt>
                <c:pt idx="23">
                  <c:v>1403.4195415122499</c:v>
                </c:pt>
                <c:pt idx="24">
                  <c:v>1241.7483780586399</c:v>
                </c:pt>
                <c:pt idx="25">
                  <c:v>1053.0000834565501</c:v>
                </c:pt>
                <c:pt idx="26">
                  <c:v>877.06931893119497</c:v>
                </c:pt>
                <c:pt idx="27">
                  <c:v>669.30672326874401</c:v>
                </c:pt>
                <c:pt idx="28">
                  <c:v>480.74974912616898</c:v>
                </c:pt>
                <c:pt idx="29">
                  <c:v>285.44067867957301</c:v>
                </c:pt>
                <c:pt idx="30">
                  <c:v>81.523206077330101</c:v>
                </c:pt>
                <c:pt idx="31">
                  <c:v>81.523206077330101</c:v>
                </c:pt>
                <c:pt idx="32">
                  <c:v>81.523206077330101</c:v>
                </c:pt>
                <c:pt idx="33">
                  <c:v>81.523206077330101</c:v>
                </c:pt>
                <c:pt idx="34">
                  <c:v>81.523206077330101</c:v>
                </c:pt>
                <c:pt idx="35">
                  <c:v>81.523206077330101</c:v>
                </c:pt>
                <c:pt idx="36">
                  <c:v>81.523206077330101</c:v>
                </c:pt>
                <c:pt idx="37">
                  <c:v>81.523206077330101</c:v>
                </c:pt>
                <c:pt idx="38" formatCode="#,##0.0">
                  <c:v>70028.923317788474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4-BE41-9F0E-DB1EC70B364C}"/>
            </c:ext>
          </c:extLst>
        </c:ser>
        <c:ser>
          <c:idx val="1"/>
          <c:order val="1"/>
          <c:tx>
            <c:strRef>
              <c:f>opex!$N$1</c:f>
              <c:strCache>
                <c:ptCount val="1"/>
                <c:pt idx="0">
                  <c:v>nemomod_entc_discounted_operating_costs_pp_gas_ccs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opex!$B$42:$B$80</c:f>
              <c:numCache>
                <c:formatCode>General</c:formatCode>
                <c:ptCount val="3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</c:numCache>
            </c:numRef>
          </c:cat>
          <c:val>
            <c:numRef>
              <c:f>opex!$N$42:$N$80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115.166982629502</c:v>
                </c:pt>
                <c:pt idx="4">
                  <c:v>247.54089339164599</c:v>
                </c:pt>
                <c:pt idx="5">
                  <c:v>380.82118127249402</c:v>
                </c:pt>
                <c:pt idx="6">
                  <c:v>494.23577160877801</c:v>
                </c:pt>
                <c:pt idx="7">
                  <c:v>609.98346844534694</c:v>
                </c:pt>
                <c:pt idx="8">
                  <c:v>738.565546217627</c:v>
                </c:pt>
                <c:pt idx="9">
                  <c:v>868.42882229031602</c:v>
                </c:pt>
                <c:pt idx="10">
                  <c:v>1013.0865247374001</c:v>
                </c:pt>
                <c:pt idx="11">
                  <c:v>1165.0432942632599</c:v>
                </c:pt>
                <c:pt idx="12">
                  <c:v>1336.0635536371301</c:v>
                </c:pt>
                <c:pt idx="13">
                  <c:v>1500.2192429331201</c:v>
                </c:pt>
                <c:pt idx="14">
                  <c:v>1679.8274244700799</c:v>
                </c:pt>
                <c:pt idx="15">
                  <c:v>1870.5290460613901</c:v>
                </c:pt>
                <c:pt idx="16">
                  <c:v>2040.8040679774499</c:v>
                </c:pt>
                <c:pt idx="17">
                  <c:v>2234.7784207812902</c:v>
                </c:pt>
                <c:pt idx="18">
                  <c:v>2445.1312737900598</c:v>
                </c:pt>
                <c:pt idx="19">
                  <c:v>2656.8767816630998</c:v>
                </c:pt>
                <c:pt idx="20">
                  <c:v>2850.5444707329998</c:v>
                </c:pt>
                <c:pt idx="21">
                  <c:v>3066.15549980068</c:v>
                </c:pt>
                <c:pt idx="22">
                  <c:v>3321.4321800207799</c:v>
                </c:pt>
                <c:pt idx="23">
                  <c:v>3517.9720859620802</c:v>
                </c:pt>
                <c:pt idx="24">
                  <c:v>3736.7274697341199</c:v>
                </c:pt>
                <c:pt idx="25">
                  <c:v>3966.7058680943601</c:v>
                </c:pt>
                <c:pt idx="26">
                  <c:v>4199.8049848907403</c:v>
                </c:pt>
                <c:pt idx="27">
                  <c:v>4436.4856407420302</c:v>
                </c:pt>
                <c:pt idx="28">
                  <c:v>4682.3054857670104</c:v>
                </c:pt>
                <c:pt idx="29">
                  <c:v>4929.0921889322199</c:v>
                </c:pt>
                <c:pt idx="30">
                  <c:v>5272.3179753168497</c:v>
                </c:pt>
                <c:pt idx="31">
                  <c:v>5470.6654853610398</c:v>
                </c:pt>
                <c:pt idx="32">
                  <c:v>5742.1796192021502</c:v>
                </c:pt>
                <c:pt idx="33">
                  <c:v>5953.5778491069204</c:v>
                </c:pt>
                <c:pt idx="34">
                  <c:v>6160.5578533283797</c:v>
                </c:pt>
                <c:pt idx="35">
                  <c:v>6358.35505464369</c:v>
                </c:pt>
                <c:pt idx="36">
                  <c:v>6554.3019713005697</c:v>
                </c:pt>
                <c:pt idx="37">
                  <c:v>9562.1392513249903</c:v>
                </c:pt>
                <c:pt idx="38" formatCode="#,##0.0">
                  <c:v>111178.42323043158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4-BE41-9F0E-DB1EC70B3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480448"/>
        <c:axId val="1607478208"/>
      </c:lineChart>
      <c:catAx>
        <c:axId val="16074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07478208"/>
        <c:crosses val="autoZero"/>
        <c:auto val="1"/>
        <c:lblAlgn val="ctr"/>
        <c:lblOffset val="100"/>
        <c:noMultiLvlLbl val="0"/>
      </c:catAx>
      <c:valAx>
        <c:axId val="160747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074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731375</xdr:colOff>
      <xdr:row>37</xdr:row>
      <xdr:rowOff>189826</xdr:rowOff>
    </xdr:from>
    <xdr:to>
      <xdr:col>35</xdr:col>
      <xdr:colOff>151190</xdr:colOff>
      <xdr:row>69</xdr:row>
      <xdr:rowOff>105834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1CF9C-B043-B54D-860B-1D28E3BE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B1FD-ED01-9241-9F37-C8F5328E5034}">
  <dimension ref="A1:Y206"/>
  <sheetViews>
    <sheetView tabSelected="1" zoomScale="84" zoomScaleNormal="60"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X206" sqref="X206"/>
    </sheetView>
  </sheetViews>
  <sheetFormatPr baseColWidth="10" defaultRowHeight="16" x14ac:dyDescent="0.2"/>
  <cols>
    <col min="2" max="2" width="10.83203125" customWidth="1"/>
    <col min="3" max="8" width="11" hidden="1" customWidth="1"/>
    <col min="9" max="9" width="13.5" bestFit="1" customWidth="1"/>
    <col min="10" max="10" width="11" bestFit="1" customWidth="1"/>
    <col min="11" max="11" width="14" bestFit="1" customWidth="1"/>
    <col min="12" max="12" width="11" bestFit="1" customWidth="1"/>
    <col min="13" max="13" width="14" bestFit="1" customWidth="1"/>
    <col min="14" max="14" width="16.1640625" bestFit="1" customWidth="1"/>
    <col min="15" max="15" width="14.6640625" bestFit="1" customWidth="1"/>
    <col min="16" max="16" width="14" bestFit="1" customWidth="1"/>
    <col min="17" max="17" width="13.5" bestFit="1" customWidth="1"/>
    <col min="18" max="18" width="11" bestFit="1" customWidth="1"/>
    <col min="19" max="19" width="14" bestFit="1" customWidth="1"/>
    <col min="20" max="20" width="14.6640625" bestFit="1" customWidth="1"/>
    <col min="21" max="21" width="12.83203125" bestFit="1" customWidth="1"/>
    <col min="22" max="22" width="14.6640625" bestFit="1" customWidth="1"/>
  </cols>
  <sheetData>
    <row r="1" spans="1:24" ht="119" x14ac:dyDescent="0.2">
      <c r="A1" s="7" t="s">
        <v>1</v>
      </c>
      <c r="B1" s="9" t="s">
        <v>0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4" x14ac:dyDescent="0.2">
      <c r="A2">
        <v>6003</v>
      </c>
      <c r="B2">
        <v>8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5.5324457240216098E-2</v>
      </c>
      <c r="J2" s="4">
        <v>0</v>
      </c>
      <c r="K2" s="4">
        <v>0</v>
      </c>
      <c r="L2" s="4">
        <v>0</v>
      </c>
      <c r="M2" s="4">
        <v>1968.13547330658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51.370288694422797</v>
      </c>
      <c r="V2" s="4">
        <v>0</v>
      </c>
      <c r="X2" s="4">
        <f t="shared" ref="X2:X38" si="0">+SUM(C2:V2)</f>
        <v>2019.5610864582429</v>
      </c>
    </row>
    <row r="3" spans="1:24" x14ac:dyDescent="0.2">
      <c r="A3">
        <v>6003</v>
      </c>
      <c r="B3">
        <v>9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4.8126612443268303E-2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837.519583549652</v>
      </c>
      <c r="U3" s="4">
        <v>40.454679441768398</v>
      </c>
      <c r="V3" s="4">
        <v>1081.95390043055</v>
      </c>
      <c r="X3" s="4">
        <f t="shared" si="0"/>
        <v>1959.9762900344135</v>
      </c>
    </row>
    <row r="4" spans="1:24" x14ac:dyDescent="0.2">
      <c r="A4">
        <v>6003</v>
      </c>
      <c r="B4">
        <v>10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4.0714583751857103E-2</v>
      </c>
      <c r="J4" s="4">
        <v>0</v>
      </c>
      <c r="K4" s="4">
        <v>0</v>
      </c>
      <c r="L4" s="4">
        <v>0</v>
      </c>
      <c r="M4" s="4">
        <v>2510.6963081652498</v>
      </c>
      <c r="N4" s="4">
        <v>0</v>
      </c>
      <c r="O4" s="4">
        <v>0</v>
      </c>
      <c r="P4" s="4">
        <v>0</v>
      </c>
      <c r="Q4" s="4">
        <v>5595.3086977112498</v>
      </c>
      <c r="R4" s="4">
        <v>0</v>
      </c>
      <c r="S4" s="4">
        <v>0</v>
      </c>
      <c r="T4" s="4">
        <v>68.982526280304</v>
      </c>
      <c r="U4" s="4">
        <v>27.9242179377258</v>
      </c>
      <c r="V4" s="4">
        <v>107.17527597453</v>
      </c>
      <c r="X4" s="4">
        <f t="shared" si="0"/>
        <v>8310.1277406528116</v>
      </c>
    </row>
    <row r="5" spans="1:24" x14ac:dyDescent="0.2">
      <c r="A5">
        <v>6003</v>
      </c>
      <c r="B5">
        <v>11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3.6785028704112799</v>
      </c>
      <c r="J5" s="4">
        <v>0</v>
      </c>
      <c r="K5" s="4">
        <v>0</v>
      </c>
      <c r="L5" s="4">
        <v>0</v>
      </c>
      <c r="M5" s="4">
        <v>236.28687422427799</v>
      </c>
      <c r="N5" s="4">
        <v>0</v>
      </c>
      <c r="O5" s="4">
        <v>355.99604591128002</v>
      </c>
      <c r="P5" s="4">
        <v>0</v>
      </c>
      <c r="Q5" s="4">
        <v>0</v>
      </c>
      <c r="R5" s="4">
        <v>0</v>
      </c>
      <c r="S5" s="4">
        <v>0</v>
      </c>
      <c r="T5" s="4">
        <v>32.447005315445097</v>
      </c>
      <c r="U5" s="4">
        <v>0</v>
      </c>
      <c r="V5" s="4">
        <v>935.32605904565105</v>
      </c>
      <c r="X5" s="4">
        <f t="shared" si="0"/>
        <v>1563.7344873670654</v>
      </c>
    </row>
    <row r="6" spans="1:24" x14ac:dyDescent="0.2">
      <c r="A6">
        <v>6003</v>
      </c>
      <c r="B6">
        <v>12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3.7872847362028401</v>
      </c>
      <c r="J6" s="4">
        <v>0</v>
      </c>
      <c r="K6" s="4">
        <v>0</v>
      </c>
      <c r="L6" s="4">
        <v>0</v>
      </c>
      <c r="M6" s="4">
        <v>869.02778645681497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X6" s="4">
        <f t="shared" si="0"/>
        <v>872.81507119301784</v>
      </c>
    </row>
    <row r="7" spans="1:24" x14ac:dyDescent="0.2">
      <c r="A7">
        <v>6003</v>
      </c>
      <c r="B7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3.89474615269727</v>
      </c>
      <c r="J7" s="4">
        <v>0</v>
      </c>
      <c r="K7" s="4">
        <v>0</v>
      </c>
      <c r="L7" s="4">
        <v>0</v>
      </c>
      <c r="M7" s="4">
        <v>1902.6070227383</v>
      </c>
      <c r="N7" s="4">
        <v>0</v>
      </c>
      <c r="O7" s="4">
        <v>1577.9760781613199</v>
      </c>
      <c r="P7" s="4">
        <v>0</v>
      </c>
      <c r="Q7" s="4">
        <v>0</v>
      </c>
      <c r="R7" s="4">
        <v>0</v>
      </c>
      <c r="S7" s="4">
        <v>0</v>
      </c>
      <c r="T7" s="4">
        <v>21.9250363963571</v>
      </c>
      <c r="U7" s="4">
        <v>0</v>
      </c>
      <c r="V7" s="4">
        <v>665.40221837576303</v>
      </c>
      <c r="X7" s="4">
        <f t="shared" si="0"/>
        <v>4171.8051018244369</v>
      </c>
    </row>
    <row r="8" spans="1:24" x14ac:dyDescent="0.2">
      <c r="A8">
        <v>6003</v>
      </c>
      <c r="B8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4.0358133656174999</v>
      </c>
      <c r="J8" s="4">
        <v>0</v>
      </c>
      <c r="K8" s="4">
        <v>0</v>
      </c>
      <c r="L8" s="4">
        <v>0</v>
      </c>
      <c r="M8" s="4">
        <v>1356.44798884186</v>
      </c>
      <c r="N8" s="4">
        <v>0</v>
      </c>
      <c r="O8" s="4">
        <v>23.124274757856298</v>
      </c>
      <c r="P8" s="4">
        <v>0</v>
      </c>
      <c r="Q8" s="4">
        <v>0</v>
      </c>
      <c r="R8" s="4">
        <v>0</v>
      </c>
      <c r="S8" s="4">
        <v>0</v>
      </c>
      <c r="T8" s="4">
        <v>92.093094034448001</v>
      </c>
      <c r="U8" s="4">
        <v>0</v>
      </c>
      <c r="V8" s="4">
        <v>43.737447501341897</v>
      </c>
      <c r="X8" s="4">
        <f t="shared" si="0"/>
        <v>1519.4386185011238</v>
      </c>
    </row>
    <row r="9" spans="1:24" x14ac:dyDescent="0.2">
      <c r="A9">
        <v>6003</v>
      </c>
      <c r="B9">
        <v>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4.21061294975918</v>
      </c>
      <c r="J9" s="4">
        <v>0</v>
      </c>
      <c r="K9" s="4">
        <v>0</v>
      </c>
      <c r="L9" s="4">
        <v>0</v>
      </c>
      <c r="M9" s="4">
        <v>386.63894818898399</v>
      </c>
      <c r="N9" s="4">
        <v>0</v>
      </c>
      <c r="O9" s="4">
        <v>24.988748998191301</v>
      </c>
      <c r="P9" s="4">
        <v>0</v>
      </c>
      <c r="Q9" s="4">
        <v>0</v>
      </c>
      <c r="R9" s="4">
        <v>0</v>
      </c>
      <c r="S9" s="4">
        <v>0</v>
      </c>
      <c r="T9" s="4">
        <v>317.20846884033699</v>
      </c>
      <c r="U9" s="4">
        <v>0</v>
      </c>
      <c r="V9" s="4">
        <v>0</v>
      </c>
      <c r="X9" s="4">
        <f t="shared" si="0"/>
        <v>733.04677897727152</v>
      </c>
    </row>
    <row r="10" spans="1:24" x14ac:dyDescent="0.2">
      <c r="A10">
        <v>6003</v>
      </c>
      <c r="B10">
        <v>16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4.4140101331204296</v>
      </c>
      <c r="J10" s="4">
        <v>0</v>
      </c>
      <c r="K10" s="4">
        <v>0</v>
      </c>
      <c r="L10" s="4">
        <v>0</v>
      </c>
      <c r="M10" s="4">
        <v>409.64678969223797</v>
      </c>
      <c r="N10" s="4">
        <v>0</v>
      </c>
      <c r="O10" s="4">
        <v>85.976712389220197</v>
      </c>
      <c r="P10" s="4">
        <v>0</v>
      </c>
      <c r="Q10" s="4">
        <v>0</v>
      </c>
      <c r="R10" s="4">
        <v>0</v>
      </c>
      <c r="S10" s="4">
        <v>0</v>
      </c>
      <c r="T10" s="4">
        <v>333.94364406551603</v>
      </c>
      <c r="U10" s="4">
        <v>0</v>
      </c>
      <c r="V10" s="4">
        <v>0</v>
      </c>
      <c r="X10" s="4">
        <f t="shared" si="0"/>
        <v>833.98115628009464</v>
      </c>
    </row>
    <row r="11" spans="1:24" x14ac:dyDescent="0.2">
      <c r="A11">
        <v>6003</v>
      </c>
      <c r="B11">
        <v>17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4.6640955288139203</v>
      </c>
      <c r="J11" s="4">
        <v>0</v>
      </c>
      <c r="K11" s="4">
        <v>0</v>
      </c>
      <c r="L11" s="4">
        <v>0</v>
      </c>
      <c r="M11" s="4">
        <v>1145.97107642827</v>
      </c>
      <c r="N11" s="4">
        <v>0</v>
      </c>
      <c r="O11" s="4">
        <v>28.425705239502602</v>
      </c>
      <c r="P11" s="4">
        <v>0</v>
      </c>
      <c r="Q11" s="4">
        <v>0</v>
      </c>
      <c r="R11" s="4">
        <v>0</v>
      </c>
      <c r="S11" s="4">
        <v>0</v>
      </c>
      <c r="T11" s="4">
        <v>238.72755262468399</v>
      </c>
      <c r="U11" s="4">
        <v>0</v>
      </c>
      <c r="V11" s="4">
        <v>0</v>
      </c>
      <c r="X11" s="4">
        <f t="shared" si="0"/>
        <v>1417.7884298212705</v>
      </c>
    </row>
    <row r="12" spans="1:24" x14ac:dyDescent="0.2">
      <c r="A12">
        <v>6003</v>
      </c>
      <c r="B12">
        <v>18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4.9563870219004498</v>
      </c>
      <c r="J12" s="4">
        <v>0</v>
      </c>
      <c r="K12" s="4">
        <v>0</v>
      </c>
      <c r="L12" s="4">
        <v>0</v>
      </c>
      <c r="M12" s="4">
        <v>2059.6866285390602</v>
      </c>
      <c r="N12" s="4">
        <v>0</v>
      </c>
      <c r="O12" s="4">
        <v>30.6406353316688</v>
      </c>
      <c r="P12" s="4">
        <v>0</v>
      </c>
      <c r="Q12" s="4">
        <v>0</v>
      </c>
      <c r="R12" s="4">
        <v>0</v>
      </c>
      <c r="S12" s="4">
        <v>0</v>
      </c>
      <c r="T12" s="4">
        <v>528.93794491278402</v>
      </c>
      <c r="U12" s="4">
        <v>0</v>
      </c>
      <c r="V12" s="4">
        <v>0.71103697047245995</v>
      </c>
      <c r="X12" s="4">
        <f t="shared" si="0"/>
        <v>2624.9326327758858</v>
      </c>
    </row>
    <row r="13" spans="1:24" x14ac:dyDescent="0.2">
      <c r="A13">
        <v>6003</v>
      </c>
      <c r="B13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5.2916977076858904</v>
      </c>
      <c r="J13" s="4">
        <v>0</v>
      </c>
      <c r="K13" s="4">
        <v>0</v>
      </c>
      <c r="L13" s="4">
        <v>0</v>
      </c>
      <c r="M13" s="4">
        <v>511.09867314932501</v>
      </c>
      <c r="N13" s="4">
        <v>0</v>
      </c>
      <c r="O13" s="4">
        <v>32.797061250032499</v>
      </c>
      <c r="P13" s="4">
        <v>0</v>
      </c>
      <c r="Q13" s="4">
        <v>0</v>
      </c>
      <c r="R13" s="4">
        <v>0</v>
      </c>
      <c r="S13" s="4">
        <v>0</v>
      </c>
      <c r="T13" s="4">
        <v>45.299358855718701</v>
      </c>
      <c r="U13" s="4">
        <v>0</v>
      </c>
      <c r="V13" s="4">
        <v>199.06788390949299</v>
      </c>
      <c r="X13" s="4">
        <f t="shared" si="0"/>
        <v>793.55467487225496</v>
      </c>
    </row>
    <row r="14" spans="1:24" x14ac:dyDescent="0.2">
      <c r="A14">
        <v>6003</v>
      </c>
      <c r="B14">
        <v>20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5.6695425680616003</v>
      </c>
      <c r="J14" s="4">
        <v>0</v>
      </c>
      <c r="K14" s="4">
        <v>0</v>
      </c>
      <c r="L14" s="4">
        <v>0</v>
      </c>
      <c r="M14" s="4">
        <v>1416.86779837931</v>
      </c>
      <c r="N14" s="4">
        <v>0</v>
      </c>
      <c r="O14" s="4">
        <v>35.237220561708298</v>
      </c>
      <c r="P14" s="4">
        <v>0</v>
      </c>
      <c r="Q14" s="4">
        <v>0</v>
      </c>
      <c r="R14" s="4">
        <v>0</v>
      </c>
      <c r="S14" s="4">
        <v>0</v>
      </c>
      <c r="T14" s="4">
        <v>32.854496303780799</v>
      </c>
      <c r="U14" s="4">
        <v>0</v>
      </c>
      <c r="V14" s="4">
        <v>2110.1422158544201</v>
      </c>
      <c r="X14" s="4">
        <f t="shared" si="0"/>
        <v>3600.7712736672806</v>
      </c>
    </row>
    <row r="15" spans="1:24" x14ac:dyDescent="0.2">
      <c r="A15">
        <v>6003</v>
      </c>
      <c r="B15">
        <v>21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6.07333455595509</v>
      </c>
      <c r="J15" s="4">
        <v>0</v>
      </c>
      <c r="K15" s="4">
        <v>0</v>
      </c>
      <c r="L15" s="4">
        <v>0</v>
      </c>
      <c r="M15" s="4">
        <v>591.95119406316098</v>
      </c>
      <c r="N15" s="4">
        <v>0</v>
      </c>
      <c r="O15" s="4">
        <v>37.498452288877203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169.92639211321699</v>
      </c>
      <c r="X15" s="4">
        <f t="shared" si="0"/>
        <v>805.44937302121025</v>
      </c>
    </row>
    <row r="16" spans="1:24" x14ac:dyDescent="0.2">
      <c r="A16">
        <v>6003</v>
      </c>
      <c r="B16">
        <v>22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7.3395419313341899</v>
      </c>
      <c r="J16" s="4">
        <v>0</v>
      </c>
      <c r="K16" s="4">
        <v>0</v>
      </c>
      <c r="L16" s="4">
        <v>0</v>
      </c>
      <c r="M16" s="4">
        <v>719.42314581188498</v>
      </c>
      <c r="N16" s="4">
        <v>0</v>
      </c>
      <c r="O16" s="4">
        <v>40.376512958976903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176.87886689800999</v>
      </c>
      <c r="X16" s="4">
        <f t="shared" si="0"/>
        <v>944.01806760020611</v>
      </c>
    </row>
    <row r="17" spans="1:24" x14ac:dyDescent="0.2">
      <c r="A17">
        <v>6003</v>
      </c>
      <c r="B17">
        <v>23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7.8437172572978104</v>
      </c>
      <c r="J17" s="4">
        <v>0</v>
      </c>
      <c r="K17" s="4">
        <v>0</v>
      </c>
      <c r="L17" s="4">
        <v>0</v>
      </c>
      <c r="M17" s="4">
        <v>778.46489951084595</v>
      </c>
      <c r="N17" s="4">
        <v>0</v>
      </c>
      <c r="O17" s="4">
        <v>43.421295053419499</v>
      </c>
      <c r="P17" s="4">
        <v>0</v>
      </c>
      <c r="Q17" s="4">
        <v>0</v>
      </c>
      <c r="R17" s="4">
        <v>0</v>
      </c>
      <c r="S17" s="4">
        <v>48.159363450418297</v>
      </c>
      <c r="T17" s="4">
        <v>0</v>
      </c>
      <c r="U17" s="4">
        <v>0</v>
      </c>
      <c r="V17" s="4">
        <v>270.15273840636098</v>
      </c>
      <c r="X17" s="4">
        <f t="shared" si="0"/>
        <v>1148.0420136783425</v>
      </c>
    </row>
    <row r="18" spans="1:24" x14ac:dyDescent="0.2">
      <c r="A18">
        <v>6003</v>
      </c>
      <c r="B18">
        <v>24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8.3637010316113791</v>
      </c>
      <c r="J18" s="4">
        <v>0</v>
      </c>
      <c r="K18" s="4">
        <v>0</v>
      </c>
      <c r="L18" s="4">
        <v>0</v>
      </c>
      <c r="M18" s="4">
        <v>1292.67971840267</v>
      </c>
      <c r="N18" s="4">
        <v>0</v>
      </c>
      <c r="O18" s="4">
        <v>46.446195620780401</v>
      </c>
      <c r="P18" s="4">
        <v>0</v>
      </c>
      <c r="Q18" s="4">
        <v>0</v>
      </c>
      <c r="R18" s="4">
        <v>0</v>
      </c>
      <c r="S18" s="4">
        <v>224.18231898129699</v>
      </c>
      <c r="T18" s="4">
        <v>0</v>
      </c>
      <c r="U18" s="4">
        <v>0</v>
      </c>
      <c r="V18" s="4">
        <v>232.381043001129</v>
      </c>
      <c r="X18" s="4">
        <f t="shared" si="0"/>
        <v>1804.0529770374876</v>
      </c>
    </row>
    <row r="19" spans="1:24" x14ac:dyDescent="0.2">
      <c r="A19">
        <v>6003</v>
      </c>
      <c r="B19">
        <v>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8.8522491426155501</v>
      </c>
      <c r="J19" s="4">
        <v>0</v>
      </c>
      <c r="K19" s="4">
        <v>3435.08039263103</v>
      </c>
      <c r="L19" s="4">
        <v>0</v>
      </c>
      <c r="M19" s="4">
        <v>14748.6435321606</v>
      </c>
      <c r="N19" s="4">
        <v>0</v>
      </c>
      <c r="O19" s="4">
        <v>49.301470777867003</v>
      </c>
      <c r="P19" s="4">
        <v>2237.5783533311001</v>
      </c>
      <c r="Q19" s="4">
        <v>0</v>
      </c>
      <c r="R19" s="4">
        <v>0</v>
      </c>
      <c r="S19" s="4">
        <v>2721.3929075573001</v>
      </c>
      <c r="T19" s="4">
        <v>0</v>
      </c>
      <c r="U19" s="4">
        <v>0</v>
      </c>
      <c r="V19" s="4">
        <v>999.37276594045102</v>
      </c>
      <c r="X19" s="4">
        <f t="shared" si="0"/>
        <v>24200.221671540963</v>
      </c>
    </row>
    <row r="20" spans="1:24" x14ac:dyDescent="0.2">
      <c r="A20">
        <v>6003</v>
      </c>
      <c r="B20">
        <v>26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9.4027215229449901</v>
      </c>
      <c r="J20" s="4">
        <v>0</v>
      </c>
      <c r="K20" s="4">
        <v>266.16426146419599</v>
      </c>
      <c r="L20" s="4">
        <v>0</v>
      </c>
      <c r="M20" s="4">
        <v>908.57437276657799</v>
      </c>
      <c r="N20" s="4">
        <v>0</v>
      </c>
      <c r="O20" s="4">
        <v>50.770090707088201</v>
      </c>
      <c r="P20" s="4">
        <v>1011.5033734564799</v>
      </c>
      <c r="Q20" s="4">
        <v>0</v>
      </c>
      <c r="R20" s="4">
        <v>0</v>
      </c>
      <c r="S20" s="4">
        <v>3320.7600726138198</v>
      </c>
      <c r="T20" s="4">
        <v>168.24363764522701</v>
      </c>
      <c r="U20" s="4">
        <v>0</v>
      </c>
      <c r="V20" s="4">
        <v>0</v>
      </c>
      <c r="X20" s="4">
        <f t="shared" si="0"/>
        <v>5735.4185301763337</v>
      </c>
    </row>
    <row r="21" spans="1:24" x14ac:dyDescent="0.2">
      <c r="A21">
        <v>6003</v>
      </c>
      <c r="B21">
        <v>27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9.1792310995485202</v>
      </c>
      <c r="J21" s="4">
        <v>0</v>
      </c>
      <c r="K21" s="4">
        <v>275.87687092777998</v>
      </c>
      <c r="L21" s="4">
        <v>0</v>
      </c>
      <c r="M21" s="4">
        <v>1386.40374696053</v>
      </c>
      <c r="N21" s="4">
        <v>0</v>
      </c>
      <c r="O21" s="4">
        <v>52.362358009358204</v>
      </c>
      <c r="P21" s="4">
        <v>1343.6532733152801</v>
      </c>
      <c r="Q21" s="4">
        <v>0</v>
      </c>
      <c r="R21" s="4">
        <v>0</v>
      </c>
      <c r="S21" s="4">
        <v>140.54551477325001</v>
      </c>
      <c r="T21" s="4">
        <v>254.290545026648</v>
      </c>
      <c r="U21" s="4">
        <v>0</v>
      </c>
      <c r="V21" s="4">
        <v>329.32074659743199</v>
      </c>
      <c r="X21" s="4">
        <f t="shared" si="0"/>
        <v>3791.632286709827</v>
      </c>
    </row>
    <row r="22" spans="1:24" x14ac:dyDescent="0.2">
      <c r="A22">
        <v>6003</v>
      </c>
      <c r="B22">
        <v>28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9.7218591986954799</v>
      </c>
      <c r="J22" s="4">
        <v>0</v>
      </c>
      <c r="K22" s="4">
        <v>283.702219814508</v>
      </c>
      <c r="L22" s="4">
        <v>0</v>
      </c>
      <c r="M22" s="4">
        <v>876.87213372557903</v>
      </c>
      <c r="N22" s="4">
        <v>0</v>
      </c>
      <c r="O22" s="4">
        <v>53.579863737068102</v>
      </c>
      <c r="P22" s="4">
        <v>1058.8687367728701</v>
      </c>
      <c r="Q22" s="4">
        <v>0</v>
      </c>
      <c r="R22" s="4">
        <v>0</v>
      </c>
      <c r="S22" s="4">
        <v>143.06469513402499</v>
      </c>
      <c r="T22" s="4">
        <v>215.91304604444201</v>
      </c>
      <c r="U22" s="4">
        <v>383.445922574691</v>
      </c>
      <c r="V22" s="4">
        <v>8.3656534587577394</v>
      </c>
      <c r="X22" s="4">
        <f t="shared" si="0"/>
        <v>3033.5341304606363</v>
      </c>
    </row>
    <row r="23" spans="1:24" x14ac:dyDescent="0.2">
      <c r="A23">
        <v>6003</v>
      </c>
      <c r="B23">
        <v>29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10.2591196325872</v>
      </c>
      <c r="J23" s="4">
        <v>0</v>
      </c>
      <c r="K23" s="4">
        <v>8565.0711522242109</v>
      </c>
      <c r="L23" s="4">
        <v>0</v>
      </c>
      <c r="M23" s="4">
        <v>902.90785750648604</v>
      </c>
      <c r="N23" s="4">
        <v>0</v>
      </c>
      <c r="O23" s="4">
        <v>54.890283620318201</v>
      </c>
      <c r="P23" s="4">
        <v>914.60081872931198</v>
      </c>
      <c r="Q23" s="4">
        <v>0</v>
      </c>
      <c r="R23" s="4">
        <v>0</v>
      </c>
      <c r="S23" s="4">
        <v>395.40121028452597</v>
      </c>
      <c r="T23" s="4">
        <v>540.52076749429796</v>
      </c>
      <c r="U23" s="4">
        <v>396.08950684913799</v>
      </c>
      <c r="V23" s="4">
        <v>1062.4240191583001</v>
      </c>
      <c r="X23" s="4">
        <f t="shared" si="0"/>
        <v>12842.164735499175</v>
      </c>
    </row>
    <row r="24" spans="1:24" x14ac:dyDescent="0.2">
      <c r="A24">
        <v>6003</v>
      </c>
      <c r="B24">
        <v>30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10.790004408461</v>
      </c>
      <c r="J24" s="4">
        <v>0</v>
      </c>
      <c r="K24" s="4">
        <v>301.12556503290898</v>
      </c>
      <c r="L24" s="4">
        <v>0</v>
      </c>
      <c r="M24" s="4">
        <v>3781.5793167125798</v>
      </c>
      <c r="N24" s="4">
        <v>0</v>
      </c>
      <c r="O24" s="4">
        <v>56.301994664073703</v>
      </c>
      <c r="P24" s="4">
        <v>747.38533232621296</v>
      </c>
      <c r="Q24" s="4">
        <v>1462.4387472276101</v>
      </c>
      <c r="R24" s="4">
        <v>0</v>
      </c>
      <c r="S24" s="4">
        <v>931.78652458801605</v>
      </c>
      <c r="T24" s="4">
        <v>1411.2130407310799</v>
      </c>
      <c r="U24" s="4">
        <v>303.98942872929598</v>
      </c>
      <c r="V24" s="4">
        <v>585.85475648250497</v>
      </c>
      <c r="X24" s="4">
        <f t="shared" si="0"/>
        <v>9592.4647109027428</v>
      </c>
    </row>
    <row r="25" spans="1:24" x14ac:dyDescent="0.2">
      <c r="A25">
        <v>6003</v>
      </c>
      <c r="B25">
        <v>31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14.9154490320393</v>
      </c>
      <c r="J25" s="4">
        <v>0</v>
      </c>
      <c r="K25" s="4">
        <v>310.76766543916301</v>
      </c>
      <c r="L25" s="4">
        <v>0</v>
      </c>
      <c r="M25" s="4">
        <v>954.65796328450904</v>
      </c>
      <c r="N25" s="4">
        <v>0</v>
      </c>
      <c r="O25" s="4">
        <v>57.444169582639901</v>
      </c>
      <c r="P25" s="4">
        <v>514.94266470086802</v>
      </c>
      <c r="Q25" s="4">
        <v>0</v>
      </c>
      <c r="R25" s="4">
        <v>0</v>
      </c>
      <c r="S25" s="4">
        <v>861.58075620165698</v>
      </c>
      <c r="T25" s="4">
        <v>276.19320731777202</v>
      </c>
      <c r="U25" s="4">
        <v>428.92563582378898</v>
      </c>
      <c r="V25" s="4">
        <v>1042.41044824346</v>
      </c>
      <c r="X25" s="4">
        <f t="shared" si="0"/>
        <v>4461.8379596258983</v>
      </c>
    </row>
    <row r="26" spans="1:24" x14ac:dyDescent="0.2">
      <c r="A26">
        <v>6003</v>
      </c>
      <c r="B26">
        <v>32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15.519214326954099</v>
      </c>
      <c r="J26" s="4">
        <v>0</v>
      </c>
      <c r="K26" s="4">
        <v>325.93674835672198</v>
      </c>
      <c r="L26" s="4">
        <v>0</v>
      </c>
      <c r="M26" s="4">
        <v>975.93449695926904</v>
      </c>
      <c r="N26" s="4">
        <v>0</v>
      </c>
      <c r="O26" s="4">
        <v>58.688805188253802</v>
      </c>
      <c r="P26" s="4">
        <v>540.75064242036296</v>
      </c>
      <c r="Q26" s="4">
        <v>0</v>
      </c>
      <c r="R26" s="4">
        <v>0</v>
      </c>
      <c r="S26" s="4">
        <v>1501.23483094259</v>
      </c>
      <c r="T26" s="4">
        <v>1029.1863654581</v>
      </c>
      <c r="U26" s="4">
        <v>8.7438467145852705</v>
      </c>
      <c r="V26" s="4">
        <v>179.33120647624099</v>
      </c>
      <c r="X26" s="4">
        <f t="shared" si="0"/>
        <v>4635.326156843078</v>
      </c>
    </row>
    <row r="27" spans="1:24" x14ac:dyDescent="0.2">
      <c r="A27">
        <v>6003</v>
      </c>
      <c r="B27">
        <v>33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16.107307424219002</v>
      </c>
      <c r="J27" s="4">
        <v>0</v>
      </c>
      <c r="K27" s="4">
        <v>334.71316552452703</v>
      </c>
      <c r="L27" s="4">
        <v>0</v>
      </c>
      <c r="M27" s="4">
        <v>2971.79323400868</v>
      </c>
      <c r="N27" s="4">
        <v>0</v>
      </c>
      <c r="O27" s="4">
        <v>60.224065343377198</v>
      </c>
      <c r="P27" s="4">
        <v>523.490205442101</v>
      </c>
      <c r="Q27" s="4">
        <v>0</v>
      </c>
      <c r="R27" s="4">
        <v>0</v>
      </c>
      <c r="S27" s="4">
        <v>158.06456523008799</v>
      </c>
      <c r="T27" s="4">
        <v>220.56981231449001</v>
      </c>
      <c r="U27" s="4">
        <v>0</v>
      </c>
      <c r="V27" s="4">
        <v>813.29206428741998</v>
      </c>
      <c r="X27" s="4">
        <f t="shared" si="0"/>
        <v>5098.2544195749024</v>
      </c>
    </row>
    <row r="28" spans="1:24" x14ac:dyDescent="0.2">
      <c r="A28">
        <v>6003</v>
      </c>
      <c r="B28">
        <v>34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16.715507197505499</v>
      </c>
      <c r="J28" s="4">
        <v>0</v>
      </c>
      <c r="K28" s="4">
        <v>330.10668706093702</v>
      </c>
      <c r="L28" s="4">
        <v>0</v>
      </c>
      <c r="M28" s="4">
        <v>1041.5769452895499</v>
      </c>
      <c r="N28" s="4">
        <v>0</v>
      </c>
      <c r="O28" s="4">
        <v>62.147887107343699</v>
      </c>
      <c r="P28" s="4">
        <v>525.03894699024499</v>
      </c>
      <c r="Q28" s="4">
        <v>0</v>
      </c>
      <c r="R28" s="4">
        <v>0</v>
      </c>
      <c r="S28" s="4">
        <v>1355.4366556155201</v>
      </c>
      <c r="T28" s="4">
        <v>526.134738482736</v>
      </c>
      <c r="U28" s="4">
        <v>0</v>
      </c>
      <c r="V28" s="4">
        <v>241.44974394345701</v>
      </c>
      <c r="X28" s="4">
        <f t="shared" si="0"/>
        <v>4098.6071116872945</v>
      </c>
    </row>
    <row r="29" spans="1:24" x14ac:dyDescent="0.2">
      <c r="A29">
        <v>6003</v>
      </c>
      <c r="B29">
        <v>35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17.344826721670401</v>
      </c>
      <c r="J29" s="4">
        <v>0</v>
      </c>
      <c r="K29" s="4">
        <v>343.57237808841103</v>
      </c>
      <c r="L29" s="4">
        <v>0</v>
      </c>
      <c r="M29" s="4">
        <v>3594.1756061468</v>
      </c>
      <c r="N29" s="4">
        <v>0</v>
      </c>
      <c r="O29" s="4">
        <v>64.319429145663605</v>
      </c>
      <c r="P29" s="4">
        <v>531.19891859695599</v>
      </c>
      <c r="Q29" s="4">
        <v>0</v>
      </c>
      <c r="R29" s="4">
        <v>0</v>
      </c>
      <c r="S29" s="4">
        <v>163.744455286207</v>
      </c>
      <c r="T29" s="4">
        <v>206.91851085080401</v>
      </c>
      <c r="U29" s="4">
        <v>0</v>
      </c>
      <c r="V29" s="4">
        <v>206.95486712593899</v>
      </c>
      <c r="X29" s="4">
        <f t="shared" si="0"/>
        <v>5128.2289919624509</v>
      </c>
    </row>
    <row r="30" spans="1:24" x14ac:dyDescent="0.2">
      <c r="A30">
        <v>6003</v>
      </c>
      <c r="B30">
        <v>36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17.8470421598523</v>
      </c>
      <c r="J30" s="4">
        <v>0</v>
      </c>
      <c r="K30" s="4">
        <v>387.96044768737403</v>
      </c>
      <c r="L30" s="4">
        <v>0</v>
      </c>
      <c r="M30" s="4">
        <v>1426.63777473766</v>
      </c>
      <c r="N30" s="4">
        <v>0</v>
      </c>
      <c r="O30" s="4">
        <v>70.706791905670599</v>
      </c>
      <c r="P30" s="4">
        <v>579.24687902667699</v>
      </c>
      <c r="Q30" s="4">
        <v>0</v>
      </c>
      <c r="R30" s="4">
        <v>0</v>
      </c>
      <c r="S30" s="4">
        <v>154.08265660769601</v>
      </c>
      <c r="T30" s="4">
        <v>206.67883480095699</v>
      </c>
      <c r="U30" s="4">
        <v>0</v>
      </c>
      <c r="V30" s="4">
        <v>244.20330594846899</v>
      </c>
      <c r="X30" s="4">
        <f t="shared" si="0"/>
        <v>3087.3637328743557</v>
      </c>
    </row>
    <row r="31" spans="1:24" x14ac:dyDescent="0.2">
      <c r="A31">
        <v>6003</v>
      </c>
      <c r="B31">
        <v>37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18.455375437699601</v>
      </c>
      <c r="J31" s="4">
        <v>0</v>
      </c>
      <c r="K31" s="4">
        <v>392.44630043074801</v>
      </c>
      <c r="L31" s="4">
        <v>0</v>
      </c>
      <c r="M31" s="4">
        <v>2073.1487116918302</v>
      </c>
      <c r="N31" s="4">
        <v>0</v>
      </c>
      <c r="O31" s="4">
        <v>71.524350134442201</v>
      </c>
      <c r="P31" s="4">
        <v>585.87398212439496</v>
      </c>
      <c r="Q31" s="4">
        <v>0</v>
      </c>
      <c r="R31" s="4">
        <v>0</v>
      </c>
      <c r="S31" s="4">
        <v>942.61077363656398</v>
      </c>
      <c r="T31" s="4">
        <v>1886.67893281184</v>
      </c>
      <c r="U31" s="4">
        <v>0</v>
      </c>
      <c r="V31" s="4">
        <v>238.399397605465</v>
      </c>
      <c r="X31" s="4">
        <f t="shared" si="0"/>
        <v>6209.137823872984</v>
      </c>
    </row>
    <row r="32" spans="1:24" x14ac:dyDescent="0.2">
      <c r="A32">
        <v>6003</v>
      </c>
      <c r="B32">
        <v>38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19.0970075497004</v>
      </c>
      <c r="J32" s="4">
        <v>0</v>
      </c>
      <c r="K32" s="4">
        <v>393.899258993817</v>
      </c>
      <c r="L32" s="4">
        <v>0</v>
      </c>
      <c r="M32" s="4">
        <v>3111.2043230305298</v>
      </c>
      <c r="N32" s="4">
        <v>0</v>
      </c>
      <c r="O32" s="4">
        <v>71.789155578860601</v>
      </c>
      <c r="P32" s="4">
        <v>587.87416010195</v>
      </c>
      <c r="Q32" s="4">
        <v>0</v>
      </c>
      <c r="R32" s="4">
        <v>0</v>
      </c>
      <c r="S32" s="4">
        <v>164.53711861152999</v>
      </c>
      <c r="T32" s="4">
        <v>209.865510172592</v>
      </c>
      <c r="U32" s="4">
        <v>0</v>
      </c>
      <c r="V32" s="4">
        <v>229.765865559406</v>
      </c>
      <c r="X32" s="4">
        <f t="shared" si="0"/>
        <v>4788.0323995983854</v>
      </c>
    </row>
    <row r="33" spans="1:25" x14ac:dyDescent="0.2">
      <c r="A33">
        <v>6003</v>
      </c>
      <c r="B33">
        <v>39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19.776179405122502</v>
      </c>
      <c r="J33" s="4">
        <v>0</v>
      </c>
      <c r="K33" s="4">
        <v>395.32389711228501</v>
      </c>
      <c r="L33" s="4">
        <v>0</v>
      </c>
      <c r="M33" s="4">
        <v>2569.4337471426502</v>
      </c>
      <c r="N33" s="4">
        <v>0</v>
      </c>
      <c r="O33" s="4">
        <v>72.048799549228207</v>
      </c>
      <c r="P33" s="4">
        <v>0</v>
      </c>
      <c r="Q33" s="4">
        <v>0</v>
      </c>
      <c r="R33" s="4">
        <v>0</v>
      </c>
      <c r="S33" s="4">
        <v>169.44160860321699</v>
      </c>
      <c r="T33" s="4">
        <v>664.88763188984797</v>
      </c>
      <c r="U33" s="4">
        <v>0</v>
      </c>
      <c r="V33" s="4">
        <v>579.45074582470602</v>
      </c>
      <c r="X33" s="4">
        <f t="shared" si="0"/>
        <v>4470.3626095270565</v>
      </c>
    </row>
    <row r="34" spans="1:25" x14ac:dyDescent="0.2">
      <c r="A34">
        <v>6003</v>
      </c>
      <c r="B34">
        <v>40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20.49239709918</v>
      </c>
      <c r="J34" s="4">
        <v>0</v>
      </c>
      <c r="K34" s="4">
        <v>393.88110397329302</v>
      </c>
      <c r="L34" s="4">
        <v>0</v>
      </c>
      <c r="M34" s="4">
        <v>1595.22551166379</v>
      </c>
      <c r="N34" s="4">
        <v>0</v>
      </c>
      <c r="O34" s="4">
        <v>71.785846779560202</v>
      </c>
      <c r="P34" s="4">
        <v>0</v>
      </c>
      <c r="Q34" s="4">
        <v>5595.3086977112498</v>
      </c>
      <c r="R34" s="4">
        <v>0</v>
      </c>
      <c r="S34" s="4">
        <v>908.483122145979</v>
      </c>
      <c r="T34" s="4">
        <v>247.307016229917</v>
      </c>
      <c r="U34" s="4">
        <v>0</v>
      </c>
      <c r="V34" s="4">
        <v>2387.8950912897399</v>
      </c>
      <c r="X34" s="4">
        <f t="shared" si="0"/>
        <v>11220.37878689271</v>
      </c>
    </row>
    <row r="35" spans="1:25" x14ac:dyDescent="0.2">
      <c r="A35">
        <v>6003</v>
      </c>
      <c r="B35">
        <v>41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21.2322133942717</v>
      </c>
      <c r="J35" s="4">
        <v>0</v>
      </c>
      <c r="K35" s="4">
        <v>699.15368119530694</v>
      </c>
      <c r="L35" s="4">
        <v>0</v>
      </c>
      <c r="M35" s="4">
        <v>1604.0487997345299</v>
      </c>
      <c r="N35" s="4">
        <v>0</v>
      </c>
      <c r="O35" s="4">
        <v>376.11566370463402</v>
      </c>
      <c r="P35" s="4">
        <v>0</v>
      </c>
      <c r="Q35" s="4">
        <v>0</v>
      </c>
      <c r="R35" s="4">
        <v>0</v>
      </c>
      <c r="S35" s="4">
        <v>178.53724787083701</v>
      </c>
      <c r="T35" s="4">
        <v>206.059640469773</v>
      </c>
      <c r="U35" s="4">
        <v>0</v>
      </c>
      <c r="V35" s="4">
        <v>470.66639240968698</v>
      </c>
      <c r="X35" s="4">
        <f t="shared" si="0"/>
        <v>3555.8136387790391</v>
      </c>
    </row>
    <row r="36" spans="1:25" x14ac:dyDescent="0.2">
      <c r="A36">
        <v>6003</v>
      </c>
      <c r="B36">
        <v>42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22.835736137486901</v>
      </c>
      <c r="J36" s="4">
        <v>0</v>
      </c>
      <c r="K36" s="4">
        <v>86.821213699032697</v>
      </c>
      <c r="L36" s="4">
        <v>0</v>
      </c>
      <c r="M36" s="4">
        <v>2363.3249689939098</v>
      </c>
      <c r="N36" s="4">
        <v>0</v>
      </c>
      <c r="O36" s="4">
        <v>71.6796473698097</v>
      </c>
      <c r="P36" s="4">
        <v>0</v>
      </c>
      <c r="Q36" s="4">
        <v>0</v>
      </c>
      <c r="R36" s="4">
        <v>0</v>
      </c>
      <c r="S36" s="4">
        <v>182.53518363574099</v>
      </c>
      <c r="T36" s="4">
        <v>507.723764210919</v>
      </c>
      <c r="U36" s="4">
        <v>0</v>
      </c>
      <c r="V36" s="4">
        <v>561.46673488250303</v>
      </c>
      <c r="X36" s="4">
        <f t="shared" si="0"/>
        <v>3796.3872489294017</v>
      </c>
    </row>
    <row r="37" spans="1:25" x14ac:dyDescent="0.2">
      <c r="A37">
        <v>6003</v>
      </c>
      <c r="B37">
        <v>43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23.679906257847101</v>
      </c>
      <c r="J37" s="4">
        <v>0</v>
      </c>
      <c r="K37" s="4">
        <v>394.07641715534601</v>
      </c>
      <c r="L37" s="4">
        <v>0</v>
      </c>
      <c r="M37" s="4">
        <v>3268.9289323388398</v>
      </c>
      <c r="N37" s="4">
        <v>0</v>
      </c>
      <c r="O37" s="4">
        <v>1458.3204672337199</v>
      </c>
      <c r="P37" s="4">
        <v>0</v>
      </c>
      <c r="Q37" s="4">
        <v>0</v>
      </c>
      <c r="R37" s="4">
        <v>0</v>
      </c>
      <c r="S37" s="4">
        <v>186.250376157245</v>
      </c>
      <c r="T37" s="4">
        <v>427.44359816554601</v>
      </c>
      <c r="U37" s="4">
        <v>0</v>
      </c>
      <c r="V37" s="4">
        <v>592.44566451415199</v>
      </c>
      <c r="X37" s="4">
        <f t="shared" si="0"/>
        <v>6351.145361822696</v>
      </c>
    </row>
    <row r="38" spans="1:25" x14ac:dyDescent="0.2">
      <c r="A38">
        <v>6003</v>
      </c>
      <c r="B38">
        <v>44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24.545590845254001</v>
      </c>
      <c r="J38" s="4">
        <v>0</v>
      </c>
      <c r="K38" s="4">
        <v>797.57323017178896</v>
      </c>
      <c r="L38" s="4">
        <v>0</v>
      </c>
      <c r="M38" s="4">
        <v>1714.3778748309501</v>
      </c>
      <c r="N38" s="4">
        <v>0</v>
      </c>
      <c r="O38" s="4">
        <v>92.892388413801598</v>
      </c>
      <c r="P38" s="4">
        <v>0</v>
      </c>
      <c r="Q38" s="4">
        <v>0</v>
      </c>
      <c r="R38" s="4">
        <v>0</v>
      </c>
      <c r="S38" s="4">
        <v>189.68401616663999</v>
      </c>
      <c r="T38" s="4">
        <v>358.32194606268303</v>
      </c>
      <c r="U38" s="4">
        <v>0</v>
      </c>
      <c r="V38" s="4">
        <v>488.41709938206202</v>
      </c>
      <c r="X38" s="4">
        <f t="shared" si="0"/>
        <v>3665.8121458731798</v>
      </c>
    </row>
    <row r="39" spans="1:25" x14ac:dyDescent="0.2">
      <c r="A39">
        <v>6003</v>
      </c>
      <c r="B39">
        <v>45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25.387965424052702</v>
      </c>
      <c r="J39" s="4">
        <v>0</v>
      </c>
      <c r="K39" s="4">
        <v>0</v>
      </c>
      <c r="L39" s="4">
        <v>0</v>
      </c>
      <c r="M39" s="4">
        <v>2660.9920444089798</v>
      </c>
      <c r="N39" s="4">
        <v>0</v>
      </c>
      <c r="O39" s="4">
        <v>95.668895386926593</v>
      </c>
      <c r="P39" s="4">
        <v>0</v>
      </c>
      <c r="Q39" s="4">
        <v>0</v>
      </c>
      <c r="R39" s="4">
        <v>0</v>
      </c>
      <c r="S39" s="4">
        <v>192.894424424774</v>
      </c>
      <c r="T39" s="4">
        <v>774.23488426127301</v>
      </c>
      <c r="U39" s="4">
        <v>0</v>
      </c>
      <c r="V39" s="4">
        <v>1347.7548609514699</v>
      </c>
      <c r="X39" s="4">
        <f>+SUM(C39:V39)</f>
        <v>5096.9330748574757</v>
      </c>
    </row>
    <row r="40" spans="1:25" x14ac:dyDescent="0.2">
      <c r="C40" s="4">
        <f t="shared" ref="C40:L40" si="1">+SUM(C2:C39)</f>
        <v>0</v>
      </c>
      <c r="D40" s="4">
        <f t="shared" si="1"/>
        <v>0</v>
      </c>
      <c r="E40" s="4">
        <f t="shared" si="1"/>
        <v>0</v>
      </c>
      <c r="F40" s="4">
        <f t="shared" si="1"/>
        <v>0</v>
      </c>
      <c r="G40" s="4">
        <f t="shared" si="1"/>
        <v>0</v>
      </c>
      <c r="H40" s="4">
        <f t="shared" si="1"/>
        <v>0</v>
      </c>
      <c r="I40" s="4">
        <f t="shared" si="1"/>
        <v>426.52405688161235</v>
      </c>
      <c r="J40" s="4">
        <f t="shared" si="1"/>
        <v>0</v>
      </c>
      <c r="K40" s="4">
        <f t="shared" si="1"/>
        <v>18713.252656983386</v>
      </c>
      <c r="L40" s="4">
        <f t="shared" si="1"/>
        <v>0</v>
      </c>
      <c r="M40" s="4">
        <f>+SUM(M2:M39)</f>
        <v>72686.072219993657</v>
      </c>
      <c r="N40" s="4">
        <f t="shared" ref="N40:V40" si="2">+SUM(N2:N39)</f>
        <v>0</v>
      </c>
      <c r="O40" s="4">
        <f t="shared" si="2"/>
        <v>5435.4673624625393</v>
      </c>
      <c r="P40" s="4">
        <f t="shared" si="2"/>
        <v>11702.006287334811</v>
      </c>
      <c r="Q40" s="4">
        <f t="shared" si="2"/>
        <v>12653.05614265011</v>
      </c>
      <c r="R40" s="4">
        <f t="shared" si="2"/>
        <v>0</v>
      </c>
      <c r="S40" s="4">
        <f t="shared" si="2"/>
        <v>15234.410398518938</v>
      </c>
      <c r="T40" s="4">
        <f t="shared" si="2"/>
        <v>12888.324141619973</v>
      </c>
      <c r="U40" s="4">
        <f t="shared" si="2"/>
        <v>1640.9435267654162</v>
      </c>
      <c r="V40" s="4">
        <f t="shared" si="2"/>
        <v>18602.096508562561</v>
      </c>
      <c r="Y40" s="4">
        <f>+SUM(C40:V40)</f>
        <v>169982.15330177298</v>
      </c>
    </row>
    <row r="41" spans="1:25" ht="17" thickBot="1" x14ac:dyDescent="0.25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5" ht="17" thickTop="1" x14ac:dyDescent="0.2">
      <c r="A42">
        <v>6004</v>
      </c>
      <c r="B42">
        <v>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9.0939510815845004E-2</v>
      </c>
      <c r="J42" s="4">
        <v>0</v>
      </c>
      <c r="K42" s="4">
        <v>0</v>
      </c>
      <c r="L42" s="4">
        <v>0</v>
      </c>
      <c r="M42" s="4">
        <v>1976.45176656273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51.902558237164698</v>
      </c>
      <c r="V42" s="4">
        <v>0</v>
      </c>
      <c r="X42" s="4">
        <f t="shared" ref="X42:X78" si="3">+SUM(C42:V42)</f>
        <v>2028.4452643107104</v>
      </c>
    </row>
    <row r="43" spans="1:25" x14ac:dyDescent="0.2">
      <c r="A43">
        <v>6004</v>
      </c>
      <c r="B43">
        <v>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8.4500275738988204E-2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843.00137429444896</v>
      </c>
      <c r="U43" s="4">
        <v>40.998840845540997</v>
      </c>
      <c r="V43" s="4">
        <v>1084.9528301369601</v>
      </c>
      <c r="X43" s="4">
        <f t="shared" si="3"/>
        <v>1969.0375455526889</v>
      </c>
    </row>
    <row r="44" spans="1:25" x14ac:dyDescent="0.2">
      <c r="A44">
        <v>6004</v>
      </c>
      <c r="B44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0.15827755924377401</v>
      </c>
      <c r="J44" s="4">
        <v>0</v>
      </c>
      <c r="K44" s="4">
        <v>0</v>
      </c>
      <c r="L44" s="4">
        <v>0</v>
      </c>
      <c r="M44" s="4">
        <v>2516.2895407026999</v>
      </c>
      <c r="N44" s="4">
        <v>0</v>
      </c>
      <c r="O44" s="4">
        <v>0</v>
      </c>
      <c r="P44" s="4">
        <v>0</v>
      </c>
      <c r="Q44" s="4">
        <v>5602.5744469845604</v>
      </c>
      <c r="R44" s="4">
        <v>0</v>
      </c>
      <c r="S44" s="4">
        <v>0</v>
      </c>
      <c r="T44" s="4">
        <v>104.963471981203</v>
      </c>
      <c r="U44" s="4">
        <v>28.476362316652899</v>
      </c>
      <c r="V44" s="4">
        <v>108.55131392257</v>
      </c>
      <c r="X44" s="4">
        <f t="shared" si="3"/>
        <v>8361.0134134669297</v>
      </c>
    </row>
    <row r="45" spans="1:25" x14ac:dyDescent="0.2">
      <c r="A45">
        <v>6004</v>
      </c>
      <c r="B45">
        <v>11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15.5761399242782</v>
      </c>
      <c r="J45" s="4">
        <v>0</v>
      </c>
      <c r="K45" s="4">
        <v>0</v>
      </c>
      <c r="L45" s="4">
        <v>0</v>
      </c>
      <c r="M45" s="4">
        <v>0</v>
      </c>
      <c r="N45" s="4">
        <v>1681.6453335444801</v>
      </c>
      <c r="O45" s="4">
        <v>135.80561679509199</v>
      </c>
      <c r="P45" s="4">
        <v>0</v>
      </c>
      <c r="Q45" s="4">
        <v>0</v>
      </c>
      <c r="R45" s="4">
        <v>0</v>
      </c>
      <c r="S45" s="4">
        <v>0</v>
      </c>
      <c r="T45" s="4">
        <v>475.64330304522503</v>
      </c>
      <c r="U45" s="4">
        <v>0</v>
      </c>
      <c r="V45" s="4">
        <v>2022.14682691648</v>
      </c>
      <c r="X45" s="4">
        <f t="shared" si="3"/>
        <v>4330.8172202255555</v>
      </c>
    </row>
    <row r="46" spans="1:25" x14ac:dyDescent="0.2">
      <c r="A46">
        <v>6004</v>
      </c>
      <c r="B46">
        <v>12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17.512375722593301</v>
      </c>
      <c r="J46" s="4">
        <v>0</v>
      </c>
      <c r="K46" s="4">
        <v>0</v>
      </c>
      <c r="L46" s="4">
        <v>0</v>
      </c>
      <c r="M46" s="4">
        <v>0</v>
      </c>
      <c r="N46" s="4">
        <v>1655.2568859906701</v>
      </c>
      <c r="O46" s="4">
        <v>648.10564502998398</v>
      </c>
      <c r="P46" s="4">
        <v>0</v>
      </c>
      <c r="Q46" s="4">
        <v>0</v>
      </c>
      <c r="R46" s="4">
        <v>0</v>
      </c>
      <c r="S46" s="4">
        <v>0</v>
      </c>
      <c r="T46" s="4">
        <v>493.12752002443801</v>
      </c>
      <c r="U46" s="4">
        <v>0</v>
      </c>
      <c r="V46" s="4">
        <v>91.073401581766802</v>
      </c>
      <c r="X46" s="4">
        <f t="shared" si="3"/>
        <v>2905.0758283494524</v>
      </c>
    </row>
    <row r="47" spans="1:25" x14ac:dyDescent="0.2">
      <c r="A47">
        <v>6004</v>
      </c>
      <c r="B47">
        <v>13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21.841417907883301</v>
      </c>
      <c r="J47" s="4">
        <v>0</v>
      </c>
      <c r="K47" s="4">
        <v>0</v>
      </c>
      <c r="L47" s="4">
        <v>0</v>
      </c>
      <c r="M47" s="4">
        <v>248.30965901336401</v>
      </c>
      <c r="N47" s="4">
        <v>1658.2501659700199</v>
      </c>
      <c r="O47" s="4">
        <v>1804.7148134572999</v>
      </c>
      <c r="P47" s="4">
        <v>0</v>
      </c>
      <c r="Q47" s="4">
        <v>0</v>
      </c>
      <c r="R47" s="4">
        <v>0</v>
      </c>
      <c r="S47" s="4">
        <v>0</v>
      </c>
      <c r="T47" s="4">
        <v>523.30959838411195</v>
      </c>
      <c r="U47" s="4">
        <v>0</v>
      </c>
      <c r="V47" s="4">
        <v>1295.67781984266</v>
      </c>
      <c r="X47" s="4">
        <f t="shared" si="3"/>
        <v>5552.1034745753395</v>
      </c>
    </row>
    <row r="48" spans="1:25" x14ac:dyDescent="0.2">
      <c r="A48">
        <v>6004</v>
      </c>
      <c r="B48">
        <v>14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29.873415064548301</v>
      </c>
      <c r="J48" s="4">
        <v>0</v>
      </c>
      <c r="K48" s="4">
        <v>0</v>
      </c>
      <c r="L48" s="4">
        <v>0</v>
      </c>
      <c r="M48" s="4">
        <v>0</v>
      </c>
      <c r="N48" s="4">
        <v>1706.3947997236801</v>
      </c>
      <c r="O48" s="4">
        <v>254.25479336787501</v>
      </c>
      <c r="P48" s="4">
        <v>0</v>
      </c>
      <c r="Q48" s="4">
        <v>0</v>
      </c>
      <c r="R48" s="4">
        <v>0</v>
      </c>
      <c r="S48" s="4">
        <v>0</v>
      </c>
      <c r="T48" s="4">
        <v>1193.77285837766</v>
      </c>
      <c r="U48" s="4">
        <v>0</v>
      </c>
      <c r="V48" s="4">
        <v>354.98331837281501</v>
      </c>
      <c r="X48" s="4">
        <f t="shared" si="3"/>
        <v>3539.2791849065784</v>
      </c>
    </row>
    <row r="49" spans="1:24" x14ac:dyDescent="0.2">
      <c r="A49">
        <v>6004</v>
      </c>
      <c r="B49">
        <v>15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33.634040325944</v>
      </c>
      <c r="J49" s="4">
        <v>0</v>
      </c>
      <c r="K49" s="4">
        <v>0</v>
      </c>
      <c r="L49" s="4">
        <v>0</v>
      </c>
      <c r="M49" s="4">
        <v>0</v>
      </c>
      <c r="N49" s="4">
        <v>1733.69828872311</v>
      </c>
      <c r="O49" s="4">
        <v>259.26133541685402</v>
      </c>
      <c r="P49" s="4">
        <v>0</v>
      </c>
      <c r="Q49" s="4">
        <v>0</v>
      </c>
      <c r="R49" s="4">
        <v>0</v>
      </c>
      <c r="S49" s="4">
        <v>0</v>
      </c>
      <c r="T49" s="4">
        <v>1921.43913745757</v>
      </c>
      <c r="U49" s="4">
        <v>0</v>
      </c>
      <c r="V49" s="4">
        <v>0</v>
      </c>
      <c r="X49" s="4">
        <f t="shared" si="3"/>
        <v>3948.032801923478</v>
      </c>
    </row>
    <row r="50" spans="1:24" x14ac:dyDescent="0.2">
      <c r="A50">
        <v>6004</v>
      </c>
      <c r="B50">
        <v>16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37.587430071390997</v>
      </c>
      <c r="J50" s="4">
        <v>0</v>
      </c>
      <c r="K50" s="4">
        <v>0</v>
      </c>
      <c r="L50" s="4">
        <v>0</v>
      </c>
      <c r="M50" s="4">
        <v>0</v>
      </c>
      <c r="N50" s="4">
        <v>1757.94573552267</v>
      </c>
      <c r="O50" s="4">
        <v>324.451920659282</v>
      </c>
      <c r="P50" s="4">
        <v>0</v>
      </c>
      <c r="Q50" s="4">
        <v>0</v>
      </c>
      <c r="R50" s="4">
        <v>0</v>
      </c>
      <c r="S50" s="4">
        <v>0</v>
      </c>
      <c r="T50" s="4">
        <v>1949.4984484838101</v>
      </c>
      <c r="U50" s="4">
        <v>0</v>
      </c>
      <c r="V50" s="4">
        <v>0</v>
      </c>
      <c r="X50" s="4">
        <f t="shared" si="3"/>
        <v>4069.4835347371531</v>
      </c>
    </row>
    <row r="51" spans="1:24" x14ac:dyDescent="0.2">
      <c r="A51">
        <v>6004</v>
      </c>
      <c r="B51">
        <v>17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41.795041937759002</v>
      </c>
      <c r="J51" s="4">
        <v>0</v>
      </c>
      <c r="K51" s="4">
        <v>0</v>
      </c>
      <c r="L51" s="4">
        <v>0</v>
      </c>
      <c r="M51" s="4">
        <v>0</v>
      </c>
      <c r="N51" s="4">
        <v>1785.4587460190901</v>
      </c>
      <c r="O51" s="4">
        <v>271.58838187142197</v>
      </c>
      <c r="P51" s="4">
        <v>0</v>
      </c>
      <c r="Q51" s="4">
        <v>0</v>
      </c>
      <c r="R51" s="4">
        <v>0</v>
      </c>
      <c r="S51" s="4">
        <v>0</v>
      </c>
      <c r="T51" s="4">
        <v>1665.58586572835</v>
      </c>
      <c r="U51" s="4">
        <v>0</v>
      </c>
      <c r="V51" s="4">
        <v>121.52704188571499</v>
      </c>
      <c r="X51" s="4">
        <f t="shared" si="3"/>
        <v>3885.9550774423356</v>
      </c>
    </row>
    <row r="52" spans="1:24" x14ac:dyDescent="0.2">
      <c r="A52">
        <v>6004</v>
      </c>
      <c r="B52">
        <v>18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46.196281216373599</v>
      </c>
      <c r="J52" s="4">
        <v>0</v>
      </c>
      <c r="K52" s="4">
        <v>0</v>
      </c>
      <c r="L52" s="4">
        <v>0</v>
      </c>
      <c r="M52" s="4">
        <v>0</v>
      </c>
      <c r="N52" s="4">
        <v>1810.3192110964301</v>
      </c>
      <c r="O52" s="4">
        <v>278.17791856063201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1271.55555219236</v>
      </c>
      <c r="X52" s="4">
        <f t="shared" si="3"/>
        <v>3406.2489630657956</v>
      </c>
    </row>
    <row r="53" spans="1:24" x14ac:dyDescent="0.2">
      <c r="A53">
        <v>6004</v>
      </c>
      <c r="B53">
        <v>19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50.772348308295498</v>
      </c>
      <c r="J53" s="4">
        <v>0</v>
      </c>
      <c r="K53" s="4">
        <v>0</v>
      </c>
      <c r="L53" s="4">
        <v>0</v>
      </c>
      <c r="M53" s="4">
        <v>0</v>
      </c>
      <c r="N53" s="4">
        <v>1834.2904293776101</v>
      </c>
      <c r="O53" s="4">
        <v>284.63820525367203</v>
      </c>
      <c r="P53" s="4">
        <v>0</v>
      </c>
      <c r="Q53" s="4">
        <v>0</v>
      </c>
      <c r="R53" s="4">
        <v>0</v>
      </c>
      <c r="S53" s="4">
        <v>0</v>
      </c>
      <c r="T53" s="4">
        <v>2003.9004124319899</v>
      </c>
      <c r="U53" s="4">
        <v>0</v>
      </c>
      <c r="V53" s="4">
        <v>0</v>
      </c>
      <c r="X53" s="4">
        <f t="shared" si="3"/>
        <v>4173.6013953715674</v>
      </c>
    </row>
    <row r="54" spans="1:24" x14ac:dyDescent="0.2">
      <c r="A54">
        <v>6004</v>
      </c>
      <c r="B54">
        <v>20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55.510409121006802</v>
      </c>
      <c r="J54" s="4">
        <v>0</v>
      </c>
      <c r="K54" s="4">
        <v>0</v>
      </c>
      <c r="L54" s="4">
        <v>0</v>
      </c>
      <c r="M54" s="4">
        <v>0</v>
      </c>
      <c r="N54" s="4">
        <v>1857.77481494995</v>
      </c>
      <c r="O54" s="4">
        <v>291.44640017859899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3164.57505487755</v>
      </c>
      <c r="X54" s="4">
        <f t="shared" si="3"/>
        <v>5369.3066791271058</v>
      </c>
    </row>
    <row r="55" spans="1:24" x14ac:dyDescent="0.2">
      <c r="A55">
        <v>6004</v>
      </c>
      <c r="B55">
        <v>21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60.260973243066204</v>
      </c>
      <c r="J55" s="4">
        <v>0</v>
      </c>
      <c r="K55" s="4">
        <v>0</v>
      </c>
      <c r="L55" s="4">
        <v>0</v>
      </c>
      <c r="M55" s="4">
        <v>0</v>
      </c>
      <c r="N55" s="4">
        <v>1878.7207754783999</v>
      </c>
      <c r="O55" s="4">
        <v>297.78400383258901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1220.09668015341</v>
      </c>
      <c r="X55" s="4">
        <f t="shared" si="3"/>
        <v>3456.8624327074654</v>
      </c>
    </row>
    <row r="56" spans="1:24" x14ac:dyDescent="0.2">
      <c r="A56">
        <v>6004</v>
      </c>
      <c r="B56">
        <v>22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66.070045006364495</v>
      </c>
      <c r="J56" s="4">
        <v>0</v>
      </c>
      <c r="K56" s="4">
        <v>0</v>
      </c>
      <c r="L56" s="4">
        <v>0</v>
      </c>
      <c r="M56" s="4">
        <v>0</v>
      </c>
      <c r="N56" s="4">
        <v>1902.4441745126401</v>
      </c>
      <c r="O56" s="4">
        <v>305.25737854344601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1252.0669761444601</v>
      </c>
      <c r="X56" s="4">
        <f t="shared" si="3"/>
        <v>3525.8385742069108</v>
      </c>
    </row>
    <row r="57" spans="1:24" x14ac:dyDescent="0.2">
      <c r="A57">
        <v>6004</v>
      </c>
      <c r="B57">
        <v>23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62.805433158453198</v>
      </c>
      <c r="J57" s="4">
        <v>0</v>
      </c>
      <c r="K57" s="4">
        <v>0</v>
      </c>
      <c r="L57" s="4">
        <v>0</v>
      </c>
      <c r="M57" s="4">
        <v>0</v>
      </c>
      <c r="N57" s="4">
        <v>1927.3581445607899</v>
      </c>
      <c r="O57" s="4">
        <v>313.23407041830097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1363.34942341033</v>
      </c>
      <c r="X57" s="4">
        <f t="shared" si="3"/>
        <v>3666.7470715478744</v>
      </c>
    </row>
    <row r="58" spans="1:24" x14ac:dyDescent="0.2">
      <c r="A58">
        <v>6004</v>
      </c>
      <c r="B58">
        <v>24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77.562914452281206</v>
      </c>
      <c r="J58" s="4">
        <v>0</v>
      </c>
      <c r="K58" s="4">
        <v>0</v>
      </c>
      <c r="L58" s="4">
        <v>0</v>
      </c>
      <c r="M58" s="4">
        <v>0</v>
      </c>
      <c r="N58" s="4">
        <v>1968.8612233840399</v>
      </c>
      <c r="O58" s="4">
        <v>320.68504240542597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1340.7442319157501</v>
      </c>
      <c r="X58" s="4">
        <f t="shared" si="3"/>
        <v>3707.8534121574967</v>
      </c>
    </row>
    <row r="59" spans="1:24" x14ac:dyDescent="0.2">
      <c r="A59">
        <v>6004</v>
      </c>
      <c r="B59">
        <v>25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59.129825167312497</v>
      </c>
      <c r="J59" s="4">
        <v>0</v>
      </c>
      <c r="K59" s="4">
        <v>0</v>
      </c>
      <c r="L59" s="4">
        <v>0</v>
      </c>
      <c r="M59" s="4">
        <v>8152.3206077330096</v>
      </c>
      <c r="N59" s="4">
        <v>2007.7313242243399</v>
      </c>
      <c r="O59" s="4">
        <v>327.50166204428302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4237.04063958195</v>
      </c>
      <c r="X59" s="4">
        <f t="shared" si="3"/>
        <v>14783.724058750897</v>
      </c>
    </row>
    <row r="60" spans="1:24" x14ac:dyDescent="0.2">
      <c r="A60">
        <v>6004</v>
      </c>
      <c r="B60">
        <v>26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73.539144872748395</v>
      </c>
      <c r="J60" s="4">
        <v>0</v>
      </c>
      <c r="K60" s="4">
        <v>0</v>
      </c>
      <c r="L60" s="4">
        <v>0</v>
      </c>
      <c r="M60" s="4">
        <v>0</v>
      </c>
      <c r="N60" s="4">
        <v>2867.3601087191</v>
      </c>
      <c r="O60" s="4">
        <v>330.68789679501702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X60" s="4">
        <f t="shared" si="3"/>
        <v>3271.5871503868652</v>
      </c>
    </row>
    <row r="61" spans="1:24" x14ac:dyDescent="0.2">
      <c r="A61">
        <v>6004</v>
      </c>
      <c r="B61">
        <v>27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76.242417740004697</v>
      </c>
      <c r="J61" s="4">
        <v>0</v>
      </c>
      <c r="K61" s="4">
        <v>0</v>
      </c>
      <c r="L61" s="4">
        <v>0</v>
      </c>
      <c r="M61" s="4">
        <v>0</v>
      </c>
      <c r="N61" s="4">
        <v>2541.3032136771699</v>
      </c>
      <c r="O61" s="4">
        <v>333.38489059681399</v>
      </c>
      <c r="P61" s="4">
        <v>0</v>
      </c>
      <c r="Q61" s="4">
        <v>0</v>
      </c>
      <c r="R61" s="4">
        <v>0</v>
      </c>
      <c r="S61" s="4">
        <v>0</v>
      </c>
      <c r="T61" s="4">
        <v>306.75357532333499</v>
      </c>
      <c r="U61" s="4">
        <v>0</v>
      </c>
      <c r="V61" s="4">
        <v>126.650933623082</v>
      </c>
      <c r="X61" s="4">
        <f t="shared" si="3"/>
        <v>3384.3350309604057</v>
      </c>
    </row>
    <row r="62" spans="1:24" x14ac:dyDescent="0.2">
      <c r="A62">
        <v>6004</v>
      </c>
      <c r="B62">
        <v>28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79.648712455883896</v>
      </c>
      <c r="J62" s="4">
        <v>0</v>
      </c>
      <c r="K62" s="4">
        <v>0</v>
      </c>
      <c r="L62" s="4">
        <v>0</v>
      </c>
      <c r="M62" s="4">
        <v>0</v>
      </c>
      <c r="N62" s="4">
        <v>742.45110177171102</v>
      </c>
      <c r="O62" s="4">
        <v>334.54216923387298</v>
      </c>
      <c r="P62" s="4">
        <v>0</v>
      </c>
      <c r="Q62" s="4">
        <v>0</v>
      </c>
      <c r="R62" s="4">
        <v>0</v>
      </c>
      <c r="S62" s="4">
        <v>0</v>
      </c>
      <c r="T62" s="4">
        <v>882.975633560652</v>
      </c>
      <c r="U62" s="4">
        <v>77.867867261255199</v>
      </c>
      <c r="V62" s="4">
        <v>588.16872346836101</v>
      </c>
      <c r="X62" s="4">
        <f t="shared" si="3"/>
        <v>2705.6542077517361</v>
      </c>
    </row>
    <row r="63" spans="1:24" x14ac:dyDescent="0.2">
      <c r="A63">
        <v>6004</v>
      </c>
      <c r="B63">
        <v>29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82.990140711663798</v>
      </c>
      <c r="J63" s="4">
        <v>0</v>
      </c>
      <c r="K63" s="4">
        <v>3889.7300063539301</v>
      </c>
      <c r="L63" s="4">
        <v>0</v>
      </c>
      <c r="M63" s="4">
        <v>0</v>
      </c>
      <c r="N63" s="4">
        <v>2065.7635494330798</v>
      </c>
      <c r="O63" s="4">
        <v>336.04004020184999</v>
      </c>
      <c r="P63" s="4">
        <v>0</v>
      </c>
      <c r="Q63" s="4">
        <v>0</v>
      </c>
      <c r="R63" s="4">
        <v>0</v>
      </c>
      <c r="S63" s="4">
        <v>0</v>
      </c>
      <c r="T63" s="4">
        <v>730.74745939541594</v>
      </c>
      <c r="U63" s="4">
        <v>391.45758375650098</v>
      </c>
      <c r="V63" s="4">
        <v>1873.97843755798</v>
      </c>
      <c r="X63" s="4">
        <f t="shared" si="3"/>
        <v>9370.7072174104196</v>
      </c>
    </row>
    <row r="64" spans="1:24" x14ac:dyDescent="0.2">
      <c r="A64">
        <v>6004</v>
      </c>
      <c r="B64">
        <v>30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86.388646586693895</v>
      </c>
      <c r="J64" s="4">
        <v>0</v>
      </c>
      <c r="K64" s="4">
        <v>0</v>
      </c>
      <c r="L64" s="4">
        <v>0</v>
      </c>
      <c r="M64" s="4">
        <v>0</v>
      </c>
      <c r="N64" s="4">
        <v>4770.0981764325297</v>
      </c>
      <c r="O64" s="4">
        <v>335.96276056667602</v>
      </c>
      <c r="P64" s="4">
        <v>0</v>
      </c>
      <c r="Q64" s="4">
        <v>1454.76835543838</v>
      </c>
      <c r="R64" s="4">
        <v>0</v>
      </c>
      <c r="S64" s="4">
        <v>0</v>
      </c>
      <c r="T64" s="4">
        <v>1819.2249872919799</v>
      </c>
      <c r="U64" s="4">
        <v>300.92279834714901</v>
      </c>
      <c r="V64" s="4">
        <v>1000.01158929602</v>
      </c>
      <c r="X64" s="4">
        <f t="shared" si="3"/>
        <v>9767.3773139594286</v>
      </c>
    </row>
    <row r="65" spans="1:24" x14ac:dyDescent="0.2">
      <c r="A65">
        <v>6004</v>
      </c>
      <c r="B65">
        <v>31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104.693948654092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334.31670243635602</v>
      </c>
      <c r="P65" s="4">
        <v>0</v>
      </c>
      <c r="Q65" s="4">
        <v>0</v>
      </c>
      <c r="R65" s="4">
        <v>0</v>
      </c>
      <c r="S65" s="4">
        <v>0</v>
      </c>
      <c r="T65" s="4">
        <v>668.90112674253805</v>
      </c>
      <c r="U65" s="4">
        <v>427.723366792131</v>
      </c>
      <c r="V65" s="4">
        <v>2697.1199194205601</v>
      </c>
      <c r="X65" s="4">
        <f t="shared" si="3"/>
        <v>4232.7550640456775</v>
      </c>
    </row>
    <row r="66" spans="1:24" x14ac:dyDescent="0.2">
      <c r="A66">
        <v>6004</v>
      </c>
      <c r="B66">
        <v>32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109.743184977073</v>
      </c>
      <c r="J66" s="4">
        <v>0</v>
      </c>
      <c r="K66" s="4">
        <v>0</v>
      </c>
      <c r="L66" s="4">
        <v>0</v>
      </c>
      <c r="M66" s="4">
        <v>0</v>
      </c>
      <c r="N66" s="4">
        <v>1438.60075479327</v>
      </c>
      <c r="O66" s="4">
        <v>331.997969499063</v>
      </c>
      <c r="P66" s="4">
        <v>0</v>
      </c>
      <c r="Q66" s="4">
        <v>0</v>
      </c>
      <c r="R66" s="4">
        <v>0</v>
      </c>
      <c r="S66" s="4">
        <v>0</v>
      </c>
      <c r="T66" s="4">
        <v>1405.4377651099201</v>
      </c>
      <c r="U66" s="4">
        <v>9.1106445049203195</v>
      </c>
      <c r="V66" s="4">
        <v>1021.185082306</v>
      </c>
      <c r="X66" s="4">
        <f t="shared" si="3"/>
        <v>4316.0754011902463</v>
      </c>
    </row>
    <row r="67" spans="1:24" x14ac:dyDescent="0.2">
      <c r="A67">
        <v>6004</v>
      </c>
      <c r="B67">
        <v>33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117.206066831857</v>
      </c>
      <c r="J67" s="4">
        <v>0</v>
      </c>
      <c r="K67" s="4">
        <v>0</v>
      </c>
      <c r="L67" s="4">
        <v>0</v>
      </c>
      <c r="M67" s="4">
        <v>0</v>
      </c>
      <c r="N67" s="4">
        <v>2039.6959653050501</v>
      </c>
      <c r="O67" s="4">
        <v>329.606368356963</v>
      </c>
      <c r="P67" s="4">
        <v>0</v>
      </c>
      <c r="Q67" s="4">
        <v>0</v>
      </c>
      <c r="R67" s="4">
        <v>0</v>
      </c>
      <c r="S67" s="4">
        <v>0</v>
      </c>
      <c r="T67" s="4">
        <v>579.89134252713404</v>
      </c>
      <c r="U67" s="4">
        <v>1.3304861436547699</v>
      </c>
      <c r="V67" s="4">
        <v>2534.1454888868202</v>
      </c>
      <c r="X67" s="4">
        <f t="shared" si="3"/>
        <v>5601.8757180514785</v>
      </c>
    </row>
    <row r="68" spans="1:24" x14ac:dyDescent="0.2">
      <c r="A68">
        <v>6004</v>
      </c>
      <c r="B68">
        <v>34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128.43693590784301</v>
      </c>
      <c r="J68" s="4">
        <v>0</v>
      </c>
      <c r="K68" s="4">
        <v>0</v>
      </c>
      <c r="L68" s="4">
        <v>0</v>
      </c>
      <c r="M68" s="4">
        <v>0</v>
      </c>
      <c r="N68" s="4">
        <v>2028.0523601346199</v>
      </c>
      <c r="O68" s="4">
        <v>327.46552518135201</v>
      </c>
      <c r="P68" s="4">
        <v>0</v>
      </c>
      <c r="Q68" s="4">
        <v>0</v>
      </c>
      <c r="R68" s="4">
        <v>0</v>
      </c>
      <c r="S68" s="4">
        <v>0</v>
      </c>
      <c r="T68" s="4">
        <v>868.39518335164598</v>
      </c>
      <c r="U68" s="4">
        <v>0</v>
      </c>
      <c r="V68" s="4">
        <v>965.05146478185895</v>
      </c>
      <c r="X68" s="4">
        <f t="shared" si="3"/>
        <v>4317.4014693573199</v>
      </c>
    </row>
    <row r="69" spans="1:24" x14ac:dyDescent="0.2">
      <c r="A69">
        <v>6004</v>
      </c>
      <c r="B69">
        <v>35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135.44617429215</v>
      </c>
      <c r="J69" s="4">
        <v>0</v>
      </c>
      <c r="K69" s="4">
        <v>0</v>
      </c>
      <c r="L69" s="4">
        <v>0</v>
      </c>
      <c r="M69" s="4">
        <v>0</v>
      </c>
      <c r="N69" s="4">
        <v>2059.15658971844</v>
      </c>
      <c r="O69" s="4">
        <v>325.19224882075099</v>
      </c>
      <c r="P69" s="4">
        <v>0</v>
      </c>
      <c r="Q69" s="4">
        <v>0</v>
      </c>
      <c r="R69" s="4">
        <v>0</v>
      </c>
      <c r="S69" s="4">
        <v>0</v>
      </c>
      <c r="T69" s="4">
        <v>534.14741987733896</v>
      </c>
      <c r="U69" s="4">
        <v>0</v>
      </c>
      <c r="V69" s="4">
        <v>1206.3772668998599</v>
      </c>
      <c r="X69" s="4">
        <f t="shared" si="3"/>
        <v>4260.3196996085398</v>
      </c>
    </row>
    <row r="70" spans="1:24" x14ac:dyDescent="0.2">
      <c r="A70">
        <v>6004</v>
      </c>
      <c r="B70">
        <v>36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139.339839590385</v>
      </c>
      <c r="J70" s="4">
        <v>0</v>
      </c>
      <c r="K70" s="4">
        <v>0</v>
      </c>
      <c r="L70" s="4">
        <v>0</v>
      </c>
      <c r="M70" s="4">
        <v>0</v>
      </c>
      <c r="N70" s="4">
        <v>3436.6608172593501</v>
      </c>
      <c r="O70" s="4">
        <v>334.86114724999499</v>
      </c>
      <c r="P70" s="4">
        <v>0</v>
      </c>
      <c r="Q70" s="4">
        <v>0</v>
      </c>
      <c r="R70" s="4">
        <v>0</v>
      </c>
      <c r="S70" s="4">
        <v>0</v>
      </c>
      <c r="T70" s="4">
        <v>562.81941233415205</v>
      </c>
      <c r="U70" s="4">
        <v>0</v>
      </c>
      <c r="V70" s="4">
        <v>1432.8175051661899</v>
      </c>
      <c r="X70" s="4">
        <f t="shared" si="3"/>
        <v>5906.4987216000727</v>
      </c>
    </row>
    <row r="71" spans="1:24" x14ac:dyDescent="0.2">
      <c r="A71">
        <v>6004</v>
      </c>
      <c r="B71">
        <v>37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146.27104696905801</v>
      </c>
      <c r="J71" s="4">
        <v>0</v>
      </c>
      <c r="K71" s="4">
        <v>0</v>
      </c>
      <c r="L71" s="4">
        <v>0</v>
      </c>
      <c r="M71" s="4">
        <v>0</v>
      </c>
      <c r="N71" s="4">
        <v>3492.7425573656401</v>
      </c>
      <c r="O71" s="4">
        <v>328.22072012665001</v>
      </c>
      <c r="P71" s="4">
        <v>0</v>
      </c>
      <c r="Q71" s="4">
        <v>0</v>
      </c>
      <c r="R71" s="4">
        <v>0</v>
      </c>
      <c r="S71" s="4">
        <v>0</v>
      </c>
      <c r="T71" s="4">
        <v>2221.8785965041702</v>
      </c>
      <c r="U71" s="4">
        <v>0</v>
      </c>
      <c r="V71" s="4">
        <v>2676.7411087465798</v>
      </c>
      <c r="X71" s="4">
        <f t="shared" si="3"/>
        <v>8865.8540297120981</v>
      </c>
    </row>
    <row r="72" spans="1:24" x14ac:dyDescent="0.2">
      <c r="A72">
        <v>6004</v>
      </c>
      <c r="B72">
        <v>38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153.22197781660799</v>
      </c>
      <c r="J72" s="4">
        <v>0</v>
      </c>
      <c r="K72" s="4">
        <v>0</v>
      </c>
      <c r="L72" s="4">
        <v>0</v>
      </c>
      <c r="M72" s="4">
        <v>0</v>
      </c>
      <c r="N72" s="4">
        <v>10611.9244104602</v>
      </c>
      <c r="O72" s="4">
        <v>320.91648709490499</v>
      </c>
      <c r="P72" s="4">
        <v>0</v>
      </c>
      <c r="Q72" s="4">
        <v>0</v>
      </c>
      <c r="R72" s="4">
        <v>0</v>
      </c>
      <c r="S72" s="4">
        <v>0</v>
      </c>
      <c r="T72" s="4">
        <v>614.10702448151801</v>
      </c>
      <c r="U72" s="4">
        <v>0</v>
      </c>
      <c r="V72" s="4">
        <v>5338.4788427354697</v>
      </c>
      <c r="X72" s="4">
        <f t="shared" si="3"/>
        <v>17038.648742588699</v>
      </c>
    </row>
    <row r="73" spans="1:24" x14ac:dyDescent="0.2">
      <c r="A73">
        <v>6004</v>
      </c>
      <c r="B73">
        <v>39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160.33129224112</v>
      </c>
      <c r="J73" s="4">
        <v>0</v>
      </c>
      <c r="K73" s="4">
        <v>0</v>
      </c>
      <c r="L73" s="4">
        <v>0</v>
      </c>
      <c r="M73" s="4">
        <v>0</v>
      </c>
      <c r="N73" s="4">
        <v>340.19700191983998</v>
      </c>
      <c r="O73" s="4">
        <v>305.87406422071899</v>
      </c>
      <c r="P73" s="4">
        <v>0</v>
      </c>
      <c r="Q73" s="4">
        <v>0</v>
      </c>
      <c r="R73" s="4">
        <v>0</v>
      </c>
      <c r="S73" s="4">
        <v>0</v>
      </c>
      <c r="T73" s="4">
        <v>1193.6908109302601</v>
      </c>
      <c r="U73" s="4">
        <v>0</v>
      </c>
      <c r="V73" s="4">
        <v>0</v>
      </c>
      <c r="X73" s="4">
        <f t="shared" si="3"/>
        <v>2000.0931693119392</v>
      </c>
    </row>
    <row r="74" spans="1:24" x14ac:dyDescent="0.2">
      <c r="A74">
        <v>6004</v>
      </c>
      <c r="B74">
        <v>40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167.405482841387</v>
      </c>
      <c r="J74" s="4">
        <v>0</v>
      </c>
      <c r="K74" s="4">
        <v>0</v>
      </c>
      <c r="L74" s="4">
        <v>0</v>
      </c>
      <c r="M74" s="4">
        <v>0</v>
      </c>
      <c r="N74" s="4">
        <v>6035.4530948247902</v>
      </c>
      <c r="O74" s="4">
        <v>291.98077788012802</v>
      </c>
      <c r="P74" s="4">
        <v>0</v>
      </c>
      <c r="Q74" s="4">
        <v>5602.5744469845604</v>
      </c>
      <c r="R74" s="4">
        <v>0</v>
      </c>
      <c r="S74" s="4">
        <v>0</v>
      </c>
      <c r="T74" s="4">
        <v>767.76916735767304</v>
      </c>
      <c r="U74" s="4">
        <v>0</v>
      </c>
      <c r="V74" s="4">
        <v>0</v>
      </c>
      <c r="X74" s="4">
        <f t="shared" si="3"/>
        <v>12865.182969888539</v>
      </c>
    </row>
    <row r="75" spans="1:24" x14ac:dyDescent="0.2">
      <c r="A75">
        <v>6004</v>
      </c>
      <c r="B75">
        <v>41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174.477602192039</v>
      </c>
      <c r="J75" s="4">
        <v>0</v>
      </c>
      <c r="K75" s="4">
        <v>0</v>
      </c>
      <c r="L75" s="4">
        <v>0</v>
      </c>
      <c r="M75" s="4">
        <v>0</v>
      </c>
      <c r="N75" s="4">
        <v>2016.1775729022399</v>
      </c>
      <c r="O75" s="4">
        <v>1157.2092961281601</v>
      </c>
      <c r="P75" s="4">
        <v>0</v>
      </c>
      <c r="Q75" s="4">
        <v>0</v>
      </c>
      <c r="R75" s="4">
        <v>0</v>
      </c>
      <c r="S75" s="4">
        <v>0</v>
      </c>
      <c r="T75" s="4">
        <v>571.81593250446099</v>
      </c>
      <c r="U75" s="4">
        <v>0</v>
      </c>
      <c r="V75" s="4">
        <v>0</v>
      </c>
      <c r="X75" s="4">
        <f t="shared" si="3"/>
        <v>3919.6804037269003</v>
      </c>
    </row>
    <row r="76" spans="1:24" x14ac:dyDescent="0.2">
      <c r="A76">
        <v>6004</v>
      </c>
      <c r="B76">
        <v>42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337.223922958169</v>
      </c>
      <c r="J76" s="4">
        <v>0</v>
      </c>
      <c r="K76" s="4">
        <v>0</v>
      </c>
      <c r="L76" s="4">
        <v>0</v>
      </c>
      <c r="M76" s="4">
        <v>0</v>
      </c>
      <c r="N76" s="4">
        <v>2122.0404883725</v>
      </c>
      <c r="O76" s="4">
        <v>1231.01153081653</v>
      </c>
      <c r="P76" s="4">
        <v>0</v>
      </c>
      <c r="Q76" s="4">
        <v>0</v>
      </c>
      <c r="R76" s="4">
        <v>0</v>
      </c>
      <c r="S76" s="4">
        <v>0</v>
      </c>
      <c r="T76" s="4">
        <v>837.059328618059</v>
      </c>
      <c r="U76" s="4">
        <v>0</v>
      </c>
      <c r="V76" s="4">
        <v>0</v>
      </c>
      <c r="X76" s="4">
        <f t="shared" si="3"/>
        <v>4527.3352707652584</v>
      </c>
    </row>
    <row r="77" spans="1:24" x14ac:dyDescent="0.2">
      <c r="A77">
        <v>6004</v>
      </c>
      <c r="B77">
        <v>43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292.77222737970999</v>
      </c>
      <c r="J77" s="4">
        <v>0</v>
      </c>
      <c r="K77" s="4">
        <v>0</v>
      </c>
      <c r="L77" s="4">
        <v>0</v>
      </c>
      <c r="M77" s="4">
        <v>0</v>
      </c>
      <c r="N77" s="4">
        <v>1945.2706259326501</v>
      </c>
      <c r="O77" s="4">
        <v>2930.5145157158499</v>
      </c>
      <c r="P77" s="4">
        <v>0</v>
      </c>
      <c r="Q77" s="4">
        <v>0</v>
      </c>
      <c r="R77" s="4">
        <v>0</v>
      </c>
      <c r="S77" s="4">
        <v>0</v>
      </c>
      <c r="T77" s="4">
        <v>1012.42874203467</v>
      </c>
      <c r="U77" s="4">
        <v>0</v>
      </c>
      <c r="V77" s="4">
        <v>0</v>
      </c>
      <c r="X77" s="4">
        <f t="shared" si="3"/>
        <v>6180.9861110628799</v>
      </c>
    </row>
    <row r="78" spans="1:24" x14ac:dyDescent="0.2">
      <c r="A78">
        <v>6004</v>
      </c>
      <c r="B78">
        <v>44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1761.9239711027301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X78" s="4">
        <f t="shared" si="3"/>
        <v>1761.9239711027301</v>
      </c>
    </row>
    <row r="79" spans="1:24" ht="17" thickBot="1" x14ac:dyDescent="0.25">
      <c r="A79">
        <v>6004</v>
      </c>
      <c r="B79">
        <v>45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117.457493164957</v>
      </c>
      <c r="J79" s="6">
        <v>0</v>
      </c>
      <c r="K79" s="6">
        <v>0</v>
      </c>
      <c r="L79" s="6">
        <v>0</v>
      </c>
      <c r="M79" s="6">
        <v>0</v>
      </c>
      <c r="N79" s="6">
        <v>25983.098045221199</v>
      </c>
      <c r="O79" s="6">
        <v>3556.2588957891799</v>
      </c>
      <c r="P79" s="6">
        <v>0</v>
      </c>
      <c r="Q79" s="6">
        <v>0</v>
      </c>
      <c r="R79" s="6">
        <v>0</v>
      </c>
      <c r="S79" s="6">
        <v>0</v>
      </c>
      <c r="T79" s="6">
        <v>10339.2562033551</v>
      </c>
      <c r="U79" s="6">
        <v>0</v>
      </c>
      <c r="V79" s="6">
        <v>0</v>
      </c>
      <c r="X79" s="4">
        <f>+SUM(C79:V79)</f>
        <v>39996.070637530436</v>
      </c>
    </row>
    <row r="80" spans="1:24" ht="17" thickTop="1" x14ac:dyDescent="0.2">
      <c r="C80" s="4">
        <f t="shared" ref="C80" si="4">+SUM(C42:C79)</f>
        <v>0</v>
      </c>
      <c r="D80" s="4">
        <f t="shared" ref="D80" si="5">+SUM(D42:D79)</f>
        <v>0</v>
      </c>
      <c r="E80" s="4">
        <f t="shared" ref="E80" si="6">+SUM(E42:E79)</f>
        <v>0</v>
      </c>
      <c r="F80" s="4">
        <f t="shared" ref="F80" si="7">+SUM(F42:F79)</f>
        <v>0</v>
      </c>
      <c r="G80" s="4">
        <f t="shared" ref="G80" si="8">+SUM(G42:G79)</f>
        <v>0</v>
      </c>
      <c r="H80" s="4">
        <f t="shared" ref="H80" si="9">+SUM(H42:H79)</f>
        <v>0</v>
      </c>
      <c r="I80" s="4">
        <f t="shared" ref="I80" si="10">+SUM(I42:I79)</f>
        <v>3359.2980661567922</v>
      </c>
      <c r="J80" s="4">
        <f t="shared" ref="J80" si="11">+SUM(J42:J79)</f>
        <v>0</v>
      </c>
      <c r="K80" s="4">
        <f t="shared" ref="K80" si="12">+SUM(K42:K79)</f>
        <v>3889.7300063539301</v>
      </c>
      <c r="L80" s="4">
        <f t="shared" ref="L80" si="13">+SUM(L42:L79)</f>
        <v>0</v>
      </c>
      <c r="M80" s="4">
        <f>+SUM(M42:M79)</f>
        <v>12893.371574011802</v>
      </c>
      <c r="N80" s="4">
        <f t="shared" ref="N80" si="14">+SUM(N42:N79)</f>
        <v>105464.120458424</v>
      </c>
      <c r="O80" s="4">
        <f t="shared" ref="O80" si="15">+SUM(O42:O79)</f>
        <v>19892.951194545589</v>
      </c>
      <c r="P80" s="4">
        <f t="shared" ref="P80" si="16">+SUM(P42:P79)</f>
        <v>0</v>
      </c>
      <c r="Q80" s="4">
        <f t="shared" ref="Q80" si="17">+SUM(Q42:Q79)</f>
        <v>12659.917249407501</v>
      </c>
      <c r="R80" s="4">
        <f t="shared" ref="R80" si="18">+SUM(R42:R79)</f>
        <v>0</v>
      </c>
      <c r="S80" s="4">
        <f t="shared" ref="S80" si="19">+SUM(S42:S79)</f>
        <v>0</v>
      </c>
      <c r="T80" s="4">
        <f t="shared" ref="T80" si="20">+SUM(T42:T79)</f>
        <v>37091.541701508831</v>
      </c>
      <c r="U80" s="4">
        <f t="shared" ref="U80" si="21">+SUM(U42:U79)</f>
        <v>1329.7905082049699</v>
      </c>
      <c r="V80" s="4">
        <f t="shared" ref="V80" si="22">+SUM(V42:V79)</f>
        <v>40389.067473823561</v>
      </c>
      <c r="X80" s="4">
        <f>+SUM(C80:V80)</f>
        <v>236969.78823243699</v>
      </c>
    </row>
    <row r="81" spans="1:24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X81" s="4"/>
    </row>
    <row r="83" spans="1:24" x14ac:dyDescent="0.2">
      <c r="A83">
        <v>6004</v>
      </c>
      <c r="B83">
        <v>8</v>
      </c>
      <c r="C83" s="4">
        <f>+(C42-C2)</f>
        <v>0</v>
      </c>
      <c r="D83" s="4">
        <f t="shared" ref="D83:V83" si="23">+(D42-D2)</f>
        <v>0</v>
      </c>
      <c r="E83" s="4">
        <f t="shared" si="23"/>
        <v>0</v>
      </c>
      <c r="F83" s="4">
        <f t="shared" si="23"/>
        <v>0</v>
      </c>
      <c r="G83" s="4">
        <f t="shared" si="23"/>
        <v>0</v>
      </c>
      <c r="H83" s="4">
        <f t="shared" si="23"/>
        <v>0</v>
      </c>
      <c r="I83" s="4">
        <f t="shared" si="23"/>
        <v>3.5615053575628906E-2</v>
      </c>
      <c r="J83" s="4">
        <f t="shared" si="23"/>
        <v>0</v>
      </c>
      <c r="K83" s="4">
        <f t="shared" si="23"/>
        <v>0</v>
      </c>
      <c r="L83" s="4">
        <f t="shared" si="23"/>
        <v>0</v>
      </c>
      <c r="M83" s="4">
        <f t="shared" si="23"/>
        <v>8.3162932561499474</v>
      </c>
      <c r="N83" s="4">
        <f t="shared" si="23"/>
        <v>0</v>
      </c>
      <c r="O83" s="4">
        <f t="shared" si="23"/>
        <v>0</v>
      </c>
      <c r="P83" s="4">
        <f t="shared" si="23"/>
        <v>0</v>
      </c>
      <c r="Q83" s="4">
        <f t="shared" si="23"/>
        <v>0</v>
      </c>
      <c r="R83" s="4">
        <f t="shared" si="23"/>
        <v>0</v>
      </c>
      <c r="S83" s="4">
        <f t="shared" si="23"/>
        <v>0</v>
      </c>
      <c r="T83" s="4">
        <f t="shared" si="23"/>
        <v>0</v>
      </c>
      <c r="U83" s="4">
        <f t="shared" si="23"/>
        <v>0.53226954274190064</v>
      </c>
      <c r="V83" s="4">
        <f t="shared" si="23"/>
        <v>0</v>
      </c>
      <c r="X83" s="3">
        <f>+(SUM(C83:V83)*1000000)/1000000000</f>
        <v>8.8841778524674769E-3</v>
      </c>
    </row>
    <row r="84" spans="1:24" x14ac:dyDescent="0.2">
      <c r="A84">
        <v>6004</v>
      </c>
      <c r="B84">
        <v>9</v>
      </c>
      <c r="C84" s="4">
        <f t="shared" ref="C84:V84" si="24">+(C43-C3)</f>
        <v>0</v>
      </c>
      <c r="D84" s="4">
        <f t="shared" si="24"/>
        <v>0</v>
      </c>
      <c r="E84" s="4">
        <f t="shared" si="24"/>
        <v>0</v>
      </c>
      <c r="F84" s="4">
        <f t="shared" si="24"/>
        <v>0</v>
      </c>
      <c r="G84" s="4">
        <f t="shared" si="24"/>
        <v>0</v>
      </c>
      <c r="H84" s="4">
        <f t="shared" si="24"/>
        <v>0</v>
      </c>
      <c r="I84" s="4">
        <f t="shared" si="24"/>
        <v>3.63736632957199E-2</v>
      </c>
      <c r="J84" s="4">
        <f t="shared" si="24"/>
        <v>0</v>
      </c>
      <c r="K84" s="4">
        <f t="shared" si="24"/>
        <v>0</v>
      </c>
      <c r="L84" s="4">
        <f t="shared" si="24"/>
        <v>0</v>
      </c>
      <c r="M84" s="4">
        <f t="shared" si="24"/>
        <v>0</v>
      </c>
      <c r="N84" s="4">
        <f t="shared" si="24"/>
        <v>0</v>
      </c>
      <c r="O84" s="4">
        <f t="shared" si="24"/>
        <v>0</v>
      </c>
      <c r="P84" s="4">
        <f t="shared" si="24"/>
        <v>0</v>
      </c>
      <c r="Q84" s="4">
        <f t="shared" si="24"/>
        <v>0</v>
      </c>
      <c r="R84" s="4">
        <f t="shared" si="24"/>
        <v>0</v>
      </c>
      <c r="S84" s="4">
        <f t="shared" si="24"/>
        <v>0</v>
      </c>
      <c r="T84" s="4">
        <f t="shared" si="24"/>
        <v>5.4817907447969674</v>
      </c>
      <c r="U84" s="4">
        <f t="shared" si="24"/>
        <v>0.54416140377259836</v>
      </c>
      <c r="V84" s="4">
        <f t="shared" si="24"/>
        <v>2.9989297064100811</v>
      </c>
      <c r="X84" s="3">
        <f t="shared" ref="X84:X120" si="25">+(SUM(C84:V84)*1000000)/1000000000</f>
        <v>9.0612555182753678E-3</v>
      </c>
    </row>
    <row r="85" spans="1:24" x14ac:dyDescent="0.2">
      <c r="A85">
        <v>6004</v>
      </c>
      <c r="B85">
        <v>10</v>
      </c>
      <c r="C85" s="4">
        <f t="shared" ref="C85:V85" si="26">+(C44-C4)</f>
        <v>0</v>
      </c>
      <c r="D85" s="4">
        <f t="shared" si="26"/>
        <v>0</v>
      </c>
      <c r="E85" s="4">
        <f t="shared" si="26"/>
        <v>0</v>
      </c>
      <c r="F85" s="4">
        <f t="shared" si="26"/>
        <v>0</v>
      </c>
      <c r="G85" s="4">
        <f t="shared" si="26"/>
        <v>0</v>
      </c>
      <c r="H85" s="4">
        <f t="shared" si="26"/>
        <v>0</v>
      </c>
      <c r="I85" s="4">
        <f t="shared" si="26"/>
        <v>0.11756297549191691</v>
      </c>
      <c r="J85" s="4">
        <f t="shared" si="26"/>
        <v>0</v>
      </c>
      <c r="K85" s="4">
        <f t="shared" si="26"/>
        <v>0</v>
      </c>
      <c r="L85" s="4">
        <f t="shared" si="26"/>
        <v>0</v>
      </c>
      <c r="M85" s="4">
        <f t="shared" si="26"/>
        <v>5.5932325374501488</v>
      </c>
      <c r="N85" s="4">
        <f t="shared" si="26"/>
        <v>0</v>
      </c>
      <c r="O85" s="4">
        <f t="shared" si="26"/>
        <v>0</v>
      </c>
      <c r="P85" s="4">
        <f t="shared" si="26"/>
        <v>0</v>
      </c>
      <c r="Q85" s="4">
        <f t="shared" si="26"/>
        <v>7.2657492733105755</v>
      </c>
      <c r="R85" s="4">
        <f t="shared" si="26"/>
        <v>0</v>
      </c>
      <c r="S85" s="4">
        <f t="shared" si="26"/>
        <v>0</v>
      </c>
      <c r="T85" s="4">
        <f t="shared" si="26"/>
        <v>35.980945700898999</v>
      </c>
      <c r="U85" s="4">
        <f t="shared" si="26"/>
        <v>0.55214437892709967</v>
      </c>
      <c r="V85" s="4">
        <f t="shared" si="26"/>
        <v>1.3760379480400076</v>
      </c>
      <c r="X85" s="3">
        <f t="shared" si="25"/>
        <v>5.0885672814118751E-2</v>
      </c>
    </row>
    <row r="86" spans="1:24" x14ac:dyDescent="0.2">
      <c r="A86">
        <v>6004</v>
      </c>
      <c r="B86">
        <v>11</v>
      </c>
      <c r="C86" s="4">
        <f t="shared" ref="C86:V86" si="27">+(C45-C5)</f>
        <v>0</v>
      </c>
      <c r="D86" s="4">
        <f t="shared" si="27"/>
        <v>0</v>
      </c>
      <c r="E86" s="4">
        <f t="shared" si="27"/>
        <v>0</v>
      </c>
      <c r="F86" s="4">
        <f t="shared" si="27"/>
        <v>0</v>
      </c>
      <c r="G86" s="4">
        <f t="shared" si="27"/>
        <v>0</v>
      </c>
      <c r="H86" s="4">
        <f t="shared" si="27"/>
        <v>0</v>
      </c>
      <c r="I86" s="4">
        <f t="shared" si="27"/>
        <v>11.897637053866919</v>
      </c>
      <c r="J86" s="4">
        <f t="shared" si="27"/>
        <v>0</v>
      </c>
      <c r="K86" s="4">
        <f t="shared" si="27"/>
        <v>0</v>
      </c>
      <c r="L86" s="4">
        <f t="shared" si="27"/>
        <v>0</v>
      </c>
      <c r="M86" s="4">
        <f t="shared" si="27"/>
        <v>-236.28687422427799</v>
      </c>
      <c r="N86" s="4">
        <f t="shared" si="27"/>
        <v>1681.6453335444801</v>
      </c>
      <c r="O86" s="4">
        <f t="shared" si="27"/>
        <v>-220.19042911618803</v>
      </c>
      <c r="P86" s="4">
        <f t="shared" si="27"/>
        <v>0</v>
      </c>
      <c r="Q86" s="4">
        <f t="shared" si="27"/>
        <v>0</v>
      </c>
      <c r="R86" s="4">
        <f t="shared" si="27"/>
        <v>0</v>
      </c>
      <c r="S86" s="4">
        <f t="shared" si="27"/>
        <v>0</v>
      </c>
      <c r="T86" s="4">
        <f t="shared" si="27"/>
        <v>443.19629772977993</v>
      </c>
      <c r="U86" s="4">
        <f t="shared" si="27"/>
        <v>0</v>
      </c>
      <c r="V86" s="4">
        <f t="shared" si="27"/>
        <v>1086.8207678708291</v>
      </c>
      <c r="X86" s="3">
        <f t="shared" si="25"/>
        <v>2.7670827328584902</v>
      </c>
    </row>
    <row r="87" spans="1:24" x14ac:dyDescent="0.2">
      <c r="A87">
        <v>6004</v>
      </c>
      <c r="B87">
        <v>12</v>
      </c>
      <c r="C87" s="4">
        <f t="shared" ref="C87:V87" si="28">+(C46-C6)</f>
        <v>0</v>
      </c>
      <c r="D87" s="4">
        <f t="shared" si="28"/>
        <v>0</v>
      </c>
      <c r="E87" s="4">
        <f t="shared" si="28"/>
        <v>0</v>
      </c>
      <c r="F87" s="4">
        <f t="shared" si="28"/>
        <v>0</v>
      </c>
      <c r="G87" s="4">
        <f t="shared" si="28"/>
        <v>0</v>
      </c>
      <c r="H87" s="4">
        <f t="shared" si="28"/>
        <v>0</v>
      </c>
      <c r="I87" s="4">
        <f t="shared" si="28"/>
        <v>13.725090986390461</v>
      </c>
      <c r="J87" s="4">
        <f t="shared" si="28"/>
        <v>0</v>
      </c>
      <c r="K87" s="4">
        <f t="shared" si="28"/>
        <v>0</v>
      </c>
      <c r="L87" s="4">
        <f t="shared" si="28"/>
        <v>0</v>
      </c>
      <c r="M87" s="4">
        <f t="shared" si="28"/>
        <v>-869.02778645681497</v>
      </c>
      <c r="N87" s="4">
        <f t="shared" si="28"/>
        <v>1655.2568859906701</v>
      </c>
      <c r="O87" s="4">
        <f t="shared" si="28"/>
        <v>648.10564502998398</v>
      </c>
      <c r="P87" s="4">
        <f t="shared" si="28"/>
        <v>0</v>
      </c>
      <c r="Q87" s="4">
        <f t="shared" si="28"/>
        <v>0</v>
      </c>
      <c r="R87" s="4">
        <f t="shared" si="28"/>
        <v>0</v>
      </c>
      <c r="S87" s="4">
        <f t="shared" si="28"/>
        <v>0</v>
      </c>
      <c r="T87" s="4">
        <f t="shared" si="28"/>
        <v>493.12752002443801</v>
      </c>
      <c r="U87" s="4">
        <f t="shared" si="28"/>
        <v>0</v>
      </c>
      <c r="V87" s="4">
        <f t="shared" si="28"/>
        <v>91.073401581766802</v>
      </c>
      <c r="X87" s="3">
        <f t="shared" si="25"/>
        <v>2.0322607571564344</v>
      </c>
    </row>
    <row r="88" spans="1:24" x14ac:dyDescent="0.2">
      <c r="A88">
        <v>6004</v>
      </c>
      <c r="B88">
        <v>13</v>
      </c>
      <c r="C88" s="4">
        <f t="shared" ref="C88:V88" si="29">+(C47-C7)</f>
        <v>0</v>
      </c>
      <c r="D88" s="4">
        <f t="shared" si="29"/>
        <v>0</v>
      </c>
      <c r="E88" s="4">
        <f t="shared" si="29"/>
        <v>0</v>
      </c>
      <c r="F88" s="4">
        <f t="shared" si="29"/>
        <v>0</v>
      </c>
      <c r="G88" s="4">
        <f t="shared" si="29"/>
        <v>0</v>
      </c>
      <c r="H88" s="4">
        <f t="shared" si="29"/>
        <v>0</v>
      </c>
      <c r="I88" s="4">
        <f t="shared" si="29"/>
        <v>17.946671755186031</v>
      </c>
      <c r="J88" s="4">
        <f t="shared" si="29"/>
        <v>0</v>
      </c>
      <c r="K88" s="4">
        <f t="shared" si="29"/>
        <v>0</v>
      </c>
      <c r="L88" s="4">
        <f t="shared" si="29"/>
        <v>0</v>
      </c>
      <c r="M88" s="4">
        <f t="shared" si="29"/>
        <v>-1654.2973637249361</v>
      </c>
      <c r="N88" s="4">
        <f t="shared" si="29"/>
        <v>1658.2501659700199</v>
      </c>
      <c r="O88" s="4">
        <f t="shared" si="29"/>
        <v>226.73873529597995</v>
      </c>
      <c r="P88" s="4">
        <f t="shared" si="29"/>
        <v>0</v>
      </c>
      <c r="Q88" s="4">
        <f t="shared" si="29"/>
        <v>0</v>
      </c>
      <c r="R88" s="4">
        <f t="shared" si="29"/>
        <v>0</v>
      </c>
      <c r="S88" s="4">
        <f t="shared" si="29"/>
        <v>0</v>
      </c>
      <c r="T88" s="4">
        <f t="shared" si="29"/>
        <v>501.38456198775486</v>
      </c>
      <c r="U88" s="4">
        <f t="shared" si="29"/>
        <v>0</v>
      </c>
      <c r="V88" s="4">
        <f t="shared" si="29"/>
        <v>630.275601466897</v>
      </c>
      <c r="X88" s="3">
        <f t="shared" si="25"/>
        <v>1.3802983727509017</v>
      </c>
    </row>
    <row r="89" spans="1:24" x14ac:dyDescent="0.2">
      <c r="A89">
        <v>6004</v>
      </c>
      <c r="B89">
        <v>14</v>
      </c>
      <c r="C89" s="4">
        <f t="shared" ref="C89:V89" si="30">+(C48-C8)</f>
        <v>0</v>
      </c>
      <c r="D89" s="4">
        <f t="shared" si="30"/>
        <v>0</v>
      </c>
      <c r="E89" s="4">
        <f t="shared" si="30"/>
        <v>0</v>
      </c>
      <c r="F89" s="4">
        <f t="shared" si="30"/>
        <v>0</v>
      </c>
      <c r="G89" s="4">
        <f t="shared" si="30"/>
        <v>0</v>
      </c>
      <c r="H89" s="4">
        <f t="shared" si="30"/>
        <v>0</v>
      </c>
      <c r="I89" s="4">
        <f t="shared" si="30"/>
        <v>25.837601698930801</v>
      </c>
      <c r="J89" s="4">
        <f t="shared" si="30"/>
        <v>0</v>
      </c>
      <c r="K89" s="4">
        <f t="shared" si="30"/>
        <v>0</v>
      </c>
      <c r="L89" s="4">
        <f t="shared" si="30"/>
        <v>0</v>
      </c>
      <c r="M89" s="4">
        <f t="shared" si="30"/>
        <v>-1356.44798884186</v>
      </c>
      <c r="N89" s="4">
        <f t="shared" si="30"/>
        <v>1706.3947997236801</v>
      </c>
      <c r="O89" s="4">
        <f t="shared" si="30"/>
        <v>231.13051861001873</v>
      </c>
      <c r="P89" s="4">
        <f t="shared" si="30"/>
        <v>0</v>
      </c>
      <c r="Q89" s="4">
        <f t="shared" si="30"/>
        <v>0</v>
      </c>
      <c r="R89" s="4">
        <f t="shared" si="30"/>
        <v>0</v>
      </c>
      <c r="S89" s="4">
        <f t="shared" si="30"/>
        <v>0</v>
      </c>
      <c r="T89" s="4">
        <f t="shared" si="30"/>
        <v>1101.6797643432119</v>
      </c>
      <c r="U89" s="4">
        <f t="shared" si="30"/>
        <v>0</v>
      </c>
      <c r="V89" s="4">
        <f t="shared" si="30"/>
        <v>311.24587087147313</v>
      </c>
      <c r="X89" s="3">
        <f t="shared" si="25"/>
        <v>2.0198405664054544</v>
      </c>
    </row>
    <row r="90" spans="1:24" x14ac:dyDescent="0.2">
      <c r="A90">
        <v>6004</v>
      </c>
      <c r="B90">
        <v>15</v>
      </c>
      <c r="C90" s="4">
        <f t="shared" ref="C90:V90" si="31">+(C49-C9)</f>
        <v>0</v>
      </c>
      <c r="D90" s="4">
        <f t="shared" si="31"/>
        <v>0</v>
      </c>
      <c r="E90" s="4">
        <f t="shared" si="31"/>
        <v>0</v>
      </c>
      <c r="F90" s="4">
        <f t="shared" si="31"/>
        <v>0</v>
      </c>
      <c r="G90" s="4">
        <f t="shared" si="31"/>
        <v>0</v>
      </c>
      <c r="H90" s="4">
        <f t="shared" si="31"/>
        <v>0</v>
      </c>
      <c r="I90" s="4">
        <f t="shared" si="31"/>
        <v>29.423427376184819</v>
      </c>
      <c r="J90" s="4">
        <f t="shared" si="31"/>
        <v>0</v>
      </c>
      <c r="K90" s="4">
        <f t="shared" si="31"/>
        <v>0</v>
      </c>
      <c r="L90" s="4">
        <f t="shared" si="31"/>
        <v>0</v>
      </c>
      <c r="M90" s="4">
        <f t="shared" si="31"/>
        <v>-386.63894818898399</v>
      </c>
      <c r="N90" s="4">
        <f t="shared" si="31"/>
        <v>1733.69828872311</v>
      </c>
      <c r="O90" s="4">
        <f t="shared" si="31"/>
        <v>234.27258641866271</v>
      </c>
      <c r="P90" s="4">
        <f t="shared" si="31"/>
        <v>0</v>
      </c>
      <c r="Q90" s="4">
        <f t="shared" si="31"/>
        <v>0</v>
      </c>
      <c r="R90" s="4">
        <f t="shared" si="31"/>
        <v>0</v>
      </c>
      <c r="S90" s="4">
        <f t="shared" si="31"/>
        <v>0</v>
      </c>
      <c r="T90" s="4">
        <f t="shared" si="31"/>
        <v>1604.2306686172331</v>
      </c>
      <c r="U90" s="4">
        <f t="shared" si="31"/>
        <v>0</v>
      </c>
      <c r="V90" s="4">
        <f t="shared" si="31"/>
        <v>0</v>
      </c>
      <c r="X90" s="3">
        <f t="shared" si="25"/>
        <v>3.2149860229462064</v>
      </c>
    </row>
    <row r="91" spans="1:24" x14ac:dyDescent="0.2">
      <c r="A91">
        <v>6004</v>
      </c>
      <c r="B91">
        <v>16</v>
      </c>
      <c r="C91" s="4">
        <f t="shared" ref="C91:V91" si="32">+(C50-C10)</f>
        <v>0</v>
      </c>
      <c r="D91" s="4">
        <f t="shared" si="32"/>
        <v>0</v>
      </c>
      <c r="E91" s="4">
        <f t="shared" si="32"/>
        <v>0</v>
      </c>
      <c r="F91" s="4">
        <f t="shared" si="32"/>
        <v>0</v>
      </c>
      <c r="G91" s="4">
        <f t="shared" si="32"/>
        <v>0</v>
      </c>
      <c r="H91" s="4">
        <f t="shared" si="32"/>
        <v>0</v>
      </c>
      <c r="I91" s="4">
        <f t="shared" si="32"/>
        <v>33.17341993827057</v>
      </c>
      <c r="J91" s="4">
        <f t="shared" si="32"/>
        <v>0</v>
      </c>
      <c r="K91" s="4">
        <f t="shared" si="32"/>
        <v>0</v>
      </c>
      <c r="L91" s="4">
        <f t="shared" si="32"/>
        <v>0</v>
      </c>
      <c r="M91" s="4">
        <f t="shared" si="32"/>
        <v>-409.64678969223797</v>
      </c>
      <c r="N91" s="4">
        <f t="shared" si="32"/>
        <v>1757.94573552267</v>
      </c>
      <c r="O91" s="4">
        <f t="shared" si="32"/>
        <v>238.47520827006178</v>
      </c>
      <c r="P91" s="4">
        <f t="shared" si="32"/>
        <v>0</v>
      </c>
      <c r="Q91" s="4">
        <f t="shared" si="32"/>
        <v>0</v>
      </c>
      <c r="R91" s="4">
        <f t="shared" si="32"/>
        <v>0</v>
      </c>
      <c r="S91" s="4">
        <f t="shared" si="32"/>
        <v>0</v>
      </c>
      <c r="T91" s="4">
        <f t="shared" si="32"/>
        <v>1615.554804418294</v>
      </c>
      <c r="U91" s="4">
        <f t="shared" si="32"/>
        <v>0</v>
      </c>
      <c r="V91" s="4">
        <f t="shared" si="32"/>
        <v>0</v>
      </c>
      <c r="X91" s="3">
        <f t="shared" si="25"/>
        <v>3.2355023784570585</v>
      </c>
    </row>
    <row r="92" spans="1:24" x14ac:dyDescent="0.2">
      <c r="A92">
        <v>6004</v>
      </c>
      <c r="B92">
        <v>17</v>
      </c>
      <c r="C92" s="4">
        <f t="shared" ref="C92:V92" si="33">+(C51-C11)</f>
        <v>0</v>
      </c>
      <c r="D92" s="4">
        <f t="shared" si="33"/>
        <v>0</v>
      </c>
      <c r="E92" s="4">
        <f t="shared" si="33"/>
        <v>0</v>
      </c>
      <c r="F92" s="4">
        <f t="shared" si="33"/>
        <v>0</v>
      </c>
      <c r="G92" s="4">
        <f t="shared" si="33"/>
        <v>0</v>
      </c>
      <c r="H92" s="4">
        <f t="shared" si="33"/>
        <v>0</v>
      </c>
      <c r="I92" s="4">
        <f t="shared" si="33"/>
        <v>37.130946408945078</v>
      </c>
      <c r="J92" s="4">
        <f t="shared" si="33"/>
        <v>0</v>
      </c>
      <c r="K92" s="4">
        <f t="shared" si="33"/>
        <v>0</v>
      </c>
      <c r="L92" s="4">
        <f t="shared" si="33"/>
        <v>0</v>
      </c>
      <c r="M92" s="4">
        <f t="shared" si="33"/>
        <v>-1145.97107642827</v>
      </c>
      <c r="N92" s="4">
        <f t="shared" si="33"/>
        <v>1785.4587460190901</v>
      </c>
      <c r="O92" s="4">
        <f t="shared" si="33"/>
        <v>243.16267663191937</v>
      </c>
      <c r="P92" s="4">
        <f t="shared" si="33"/>
        <v>0</v>
      </c>
      <c r="Q92" s="4">
        <f t="shared" si="33"/>
        <v>0</v>
      </c>
      <c r="R92" s="4">
        <f t="shared" si="33"/>
        <v>0</v>
      </c>
      <c r="S92" s="4">
        <f t="shared" si="33"/>
        <v>0</v>
      </c>
      <c r="T92" s="4">
        <f t="shared" si="33"/>
        <v>1426.858313103666</v>
      </c>
      <c r="U92" s="4">
        <f t="shared" si="33"/>
        <v>0</v>
      </c>
      <c r="V92" s="4">
        <f t="shared" si="33"/>
        <v>121.52704188571499</v>
      </c>
      <c r="X92" s="3">
        <f t="shared" si="25"/>
        <v>2.4681666476210653</v>
      </c>
    </row>
    <row r="93" spans="1:24" x14ac:dyDescent="0.2">
      <c r="A93">
        <v>6004</v>
      </c>
      <c r="B93">
        <v>18</v>
      </c>
      <c r="C93" s="4">
        <f t="shared" ref="C93:V93" si="34">+(C52-C12)</f>
        <v>0</v>
      </c>
      <c r="D93" s="4">
        <f t="shared" si="34"/>
        <v>0</v>
      </c>
      <c r="E93" s="4">
        <f t="shared" si="34"/>
        <v>0</v>
      </c>
      <c r="F93" s="4">
        <f t="shared" si="34"/>
        <v>0</v>
      </c>
      <c r="G93" s="4">
        <f t="shared" si="34"/>
        <v>0</v>
      </c>
      <c r="H93" s="4">
        <f t="shared" si="34"/>
        <v>0</v>
      </c>
      <c r="I93" s="4">
        <f t="shared" si="34"/>
        <v>41.239894194473152</v>
      </c>
      <c r="J93" s="4">
        <f t="shared" si="34"/>
        <v>0</v>
      </c>
      <c r="K93" s="4">
        <f t="shared" si="34"/>
        <v>0</v>
      </c>
      <c r="L93" s="4">
        <f t="shared" si="34"/>
        <v>0</v>
      </c>
      <c r="M93" s="4">
        <f t="shared" si="34"/>
        <v>-2059.6866285390602</v>
      </c>
      <c r="N93" s="4">
        <f t="shared" si="34"/>
        <v>1810.3192110964301</v>
      </c>
      <c r="O93" s="4">
        <f t="shared" si="34"/>
        <v>247.53728322896322</v>
      </c>
      <c r="P93" s="4">
        <f t="shared" si="34"/>
        <v>0</v>
      </c>
      <c r="Q93" s="4">
        <f t="shared" si="34"/>
        <v>0</v>
      </c>
      <c r="R93" s="4">
        <f t="shared" si="34"/>
        <v>0</v>
      </c>
      <c r="S93" s="4">
        <f t="shared" si="34"/>
        <v>0</v>
      </c>
      <c r="T93" s="4">
        <f t="shared" si="34"/>
        <v>-528.93794491278402</v>
      </c>
      <c r="U93" s="4">
        <f t="shared" si="34"/>
        <v>0</v>
      </c>
      <c r="V93" s="4">
        <f t="shared" si="34"/>
        <v>1270.8445152218876</v>
      </c>
      <c r="X93" s="3">
        <f t="shared" si="25"/>
        <v>0.78131633028990999</v>
      </c>
    </row>
    <row r="94" spans="1:24" x14ac:dyDescent="0.2">
      <c r="A94">
        <v>6004</v>
      </c>
      <c r="B94">
        <v>19</v>
      </c>
      <c r="C94" s="4">
        <f t="shared" ref="C94:V94" si="35">+(C53-C13)</f>
        <v>0</v>
      </c>
      <c r="D94" s="4">
        <f t="shared" si="35"/>
        <v>0</v>
      </c>
      <c r="E94" s="4">
        <f t="shared" si="35"/>
        <v>0</v>
      </c>
      <c r="F94" s="4">
        <f t="shared" si="35"/>
        <v>0</v>
      </c>
      <c r="G94" s="4">
        <f t="shared" si="35"/>
        <v>0</v>
      </c>
      <c r="H94" s="4">
        <f t="shared" si="35"/>
        <v>0</v>
      </c>
      <c r="I94" s="4">
        <f t="shared" si="35"/>
        <v>45.480650600609607</v>
      </c>
      <c r="J94" s="4">
        <f t="shared" si="35"/>
        <v>0</v>
      </c>
      <c r="K94" s="4">
        <f t="shared" si="35"/>
        <v>0</v>
      </c>
      <c r="L94" s="4">
        <f t="shared" si="35"/>
        <v>0</v>
      </c>
      <c r="M94" s="4">
        <f t="shared" si="35"/>
        <v>-511.09867314932501</v>
      </c>
      <c r="N94" s="4">
        <f t="shared" si="35"/>
        <v>1834.2904293776101</v>
      </c>
      <c r="O94" s="4">
        <f t="shared" si="35"/>
        <v>251.84114400363953</v>
      </c>
      <c r="P94" s="4">
        <f t="shared" si="35"/>
        <v>0</v>
      </c>
      <c r="Q94" s="4">
        <f t="shared" si="35"/>
        <v>0</v>
      </c>
      <c r="R94" s="4">
        <f t="shared" si="35"/>
        <v>0</v>
      </c>
      <c r="S94" s="4">
        <f t="shared" si="35"/>
        <v>0</v>
      </c>
      <c r="T94" s="4">
        <f t="shared" si="35"/>
        <v>1958.6010535762712</v>
      </c>
      <c r="U94" s="4">
        <f t="shared" si="35"/>
        <v>0</v>
      </c>
      <c r="V94" s="4">
        <f t="shared" si="35"/>
        <v>-199.06788390949299</v>
      </c>
      <c r="X94" s="3">
        <f t="shared" si="25"/>
        <v>3.3800467204993123</v>
      </c>
    </row>
    <row r="95" spans="1:24" x14ac:dyDescent="0.2">
      <c r="A95">
        <v>6004</v>
      </c>
      <c r="B95">
        <v>20</v>
      </c>
      <c r="C95" s="4">
        <f t="shared" ref="C95:V95" si="36">+(C54-C14)</f>
        <v>0</v>
      </c>
      <c r="D95" s="4">
        <f t="shared" si="36"/>
        <v>0</v>
      </c>
      <c r="E95" s="4">
        <f t="shared" si="36"/>
        <v>0</v>
      </c>
      <c r="F95" s="4">
        <f t="shared" si="36"/>
        <v>0</v>
      </c>
      <c r="G95" s="4">
        <f t="shared" si="36"/>
        <v>0</v>
      </c>
      <c r="H95" s="4">
        <f t="shared" si="36"/>
        <v>0</v>
      </c>
      <c r="I95" s="4">
        <f t="shared" si="36"/>
        <v>49.840866552945201</v>
      </c>
      <c r="J95" s="4">
        <f t="shared" si="36"/>
        <v>0</v>
      </c>
      <c r="K95" s="4">
        <f t="shared" si="36"/>
        <v>0</v>
      </c>
      <c r="L95" s="4">
        <f t="shared" si="36"/>
        <v>0</v>
      </c>
      <c r="M95" s="4">
        <f t="shared" si="36"/>
        <v>-1416.86779837931</v>
      </c>
      <c r="N95" s="4">
        <f t="shared" si="36"/>
        <v>1857.77481494995</v>
      </c>
      <c r="O95" s="4">
        <f t="shared" si="36"/>
        <v>256.20917961689071</v>
      </c>
      <c r="P95" s="4">
        <f t="shared" si="36"/>
        <v>0</v>
      </c>
      <c r="Q95" s="4">
        <f t="shared" si="36"/>
        <v>0</v>
      </c>
      <c r="R95" s="4">
        <f t="shared" si="36"/>
        <v>0</v>
      </c>
      <c r="S95" s="4">
        <f t="shared" si="36"/>
        <v>0</v>
      </c>
      <c r="T95" s="4">
        <f t="shared" si="36"/>
        <v>-32.854496303780799</v>
      </c>
      <c r="U95" s="4">
        <f t="shared" si="36"/>
        <v>0</v>
      </c>
      <c r="V95" s="4">
        <f t="shared" si="36"/>
        <v>1054.4328390231299</v>
      </c>
      <c r="X95" s="3">
        <f t="shared" si="25"/>
        <v>1.768535405459825</v>
      </c>
    </row>
    <row r="96" spans="1:24" x14ac:dyDescent="0.2">
      <c r="A96">
        <v>6004</v>
      </c>
      <c r="B96">
        <v>21</v>
      </c>
      <c r="C96" s="4">
        <f t="shared" ref="C96:V96" si="37">+(C55-C15)</f>
        <v>0</v>
      </c>
      <c r="D96" s="4">
        <f t="shared" si="37"/>
        <v>0</v>
      </c>
      <c r="E96" s="4">
        <f t="shared" si="37"/>
        <v>0</v>
      </c>
      <c r="F96" s="4">
        <f t="shared" si="37"/>
        <v>0</v>
      </c>
      <c r="G96" s="4">
        <f t="shared" si="37"/>
        <v>0</v>
      </c>
      <c r="H96" s="4">
        <f t="shared" si="37"/>
        <v>0</v>
      </c>
      <c r="I96" s="4">
        <f t="shared" si="37"/>
        <v>54.187638687111111</v>
      </c>
      <c r="J96" s="4">
        <f t="shared" si="37"/>
        <v>0</v>
      </c>
      <c r="K96" s="4">
        <f t="shared" si="37"/>
        <v>0</v>
      </c>
      <c r="L96" s="4">
        <f t="shared" si="37"/>
        <v>0</v>
      </c>
      <c r="M96" s="4">
        <f t="shared" si="37"/>
        <v>-591.95119406316098</v>
      </c>
      <c r="N96" s="4">
        <f t="shared" si="37"/>
        <v>1878.7207754783999</v>
      </c>
      <c r="O96" s="4">
        <f t="shared" si="37"/>
        <v>260.28555154371179</v>
      </c>
      <c r="P96" s="4">
        <f t="shared" si="37"/>
        <v>0</v>
      </c>
      <c r="Q96" s="4">
        <f t="shared" si="37"/>
        <v>0</v>
      </c>
      <c r="R96" s="4">
        <f t="shared" si="37"/>
        <v>0</v>
      </c>
      <c r="S96" s="4">
        <f t="shared" si="37"/>
        <v>0</v>
      </c>
      <c r="T96" s="4">
        <f t="shared" si="37"/>
        <v>0</v>
      </c>
      <c r="U96" s="4">
        <f t="shared" si="37"/>
        <v>0</v>
      </c>
      <c r="V96" s="4">
        <f t="shared" si="37"/>
        <v>1050.1702880401931</v>
      </c>
      <c r="X96" s="3">
        <f t="shared" si="25"/>
        <v>2.6514130596862548</v>
      </c>
    </row>
    <row r="97" spans="1:24" x14ac:dyDescent="0.2">
      <c r="A97">
        <v>6004</v>
      </c>
      <c r="B97">
        <v>22</v>
      </c>
      <c r="C97" s="4">
        <f t="shared" ref="C97:V97" si="38">+(C56-C16)</f>
        <v>0</v>
      </c>
      <c r="D97" s="4">
        <f t="shared" si="38"/>
        <v>0</v>
      </c>
      <c r="E97" s="4">
        <f t="shared" si="38"/>
        <v>0</v>
      </c>
      <c r="F97" s="4">
        <f t="shared" si="38"/>
        <v>0</v>
      </c>
      <c r="G97" s="4">
        <f t="shared" si="38"/>
        <v>0</v>
      </c>
      <c r="H97" s="4">
        <f t="shared" si="38"/>
        <v>0</v>
      </c>
      <c r="I97" s="4">
        <f t="shared" si="38"/>
        <v>58.730503075030306</v>
      </c>
      <c r="J97" s="4">
        <f t="shared" si="38"/>
        <v>0</v>
      </c>
      <c r="K97" s="4">
        <f t="shared" si="38"/>
        <v>0</v>
      </c>
      <c r="L97" s="4">
        <f t="shared" si="38"/>
        <v>0</v>
      </c>
      <c r="M97" s="4">
        <f t="shared" si="38"/>
        <v>-719.42314581188498</v>
      </c>
      <c r="N97" s="4">
        <f t="shared" si="38"/>
        <v>1902.4441745126401</v>
      </c>
      <c r="O97" s="4">
        <f t="shared" si="38"/>
        <v>264.88086558446912</v>
      </c>
      <c r="P97" s="4">
        <f t="shared" si="38"/>
        <v>0</v>
      </c>
      <c r="Q97" s="4">
        <f t="shared" si="38"/>
        <v>0</v>
      </c>
      <c r="R97" s="4">
        <f t="shared" si="38"/>
        <v>0</v>
      </c>
      <c r="S97" s="4">
        <f t="shared" si="38"/>
        <v>0</v>
      </c>
      <c r="T97" s="4">
        <f t="shared" si="38"/>
        <v>0</v>
      </c>
      <c r="U97" s="4">
        <f t="shared" si="38"/>
        <v>0</v>
      </c>
      <c r="V97" s="4">
        <f t="shared" si="38"/>
        <v>1075.18810924645</v>
      </c>
      <c r="X97" s="3">
        <f t="shared" si="25"/>
        <v>2.5818205066067046</v>
      </c>
    </row>
    <row r="98" spans="1:24" x14ac:dyDescent="0.2">
      <c r="A98">
        <v>6004</v>
      </c>
      <c r="B98">
        <v>23</v>
      </c>
      <c r="C98" s="4">
        <f t="shared" ref="C98:V98" si="39">+(C57-C17)</f>
        <v>0</v>
      </c>
      <c r="D98" s="4">
        <f t="shared" si="39"/>
        <v>0</v>
      </c>
      <c r="E98" s="4">
        <f t="shared" si="39"/>
        <v>0</v>
      </c>
      <c r="F98" s="4">
        <f t="shared" si="39"/>
        <v>0</v>
      </c>
      <c r="G98" s="4">
        <f t="shared" si="39"/>
        <v>0</v>
      </c>
      <c r="H98" s="4">
        <f t="shared" si="39"/>
        <v>0</v>
      </c>
      <c r="I98" s="4">
        <f t="shared" si="39"/>
        <v>54.961715901155387</v>
      </c>
      <c r="J98" s="4">
        <f t="shared" si="39"/>
        <v>0</v>
      </c>
      <c r="K98" s="4">
        <f t="shared" si="39"/>
        <v>0</v>
      </c>
      <c r="L98" s="4">
        <f t="shared" si="39"/>
        <v>0</v>
      </c>
      <c r="M98" s="4">
        <f t="shared" si="39"/>
        <v>-778.46489951084595</v>
      </c>
      <c r="N98" s="4">
        <f t="shared" si="39"/>
        <v>1927.3581445607899</v>
      </c>
      <c r="O98" s="4">
        <f t="shared" si="39"/>
        <v>269.81277536488147</v>
      </c>
      <c r="P98" s="4">
        <f t="shared" si="39"/>
        <v>0</v>
      </c>
      <c r="Q98" s="4">
        <f t="shared" si="39"/>
        <v>0</v>
      </c>
      <c r="R98" s="4">
        <f t="shared" si="39"/>
        <v>0</v>
      </c>
      <c r="S98" s="4">
        <f t="shared" si="39"/>
        <v>-48.159363450418297</v>
      </c>
      <c r="T98" s="4">
        <f t="shared" si="39"/>
        <v>0</v>
      </c>
      <c r="U98" s="4">
        <f t="shared" si="39"/>
        <v>0</v>
      </c>
      <c r="V98" s="4">
        <f t="shared" si="39"/>
        <v>1093.1966850039689</v>
      </c>
      <c r="X98" s="3">
        <f t="shared" si="25"/>
        <v>2.5187050578695311</v>
      </c>
    </row>
    <row r="99" spans="1:24" x14ac:dyDescent="0.2">
      <c r="A99">
        <v>6004</v>
      </c>
      <c r="B99">
        <v>24</v>
      </c>
      <c r="C99" s="4">
        <f t="shared" ref="C99:V99" si="40">+(C58-C18)</f>
        <v>0</v>
      </c>
      <c r="D99" s="4">
        <f t="shared" si="40"/>
        <v>0</v>
      </c>
      <c r="E99" s="4">
        <f t="shared" si="40"/>
        <v>0</v>
      </c>
      <c r="F99" s="4">
        <f t="shared" si="40"/>
        <v>0</v>
      </c>
      <c r="G99" s="4">
        <f t="shared" si="40"/>
        <v>0</v>
      </c>
      <c r="H99" s="4">
        <f t="shared" si="40"/>
        <v>0</v>
      </c>
      <c r="I99" s="4">
        <f t="shared" si="40"/>
        <v>69.199213420669821</v>
      </c>
      <c r="J99" s="4">
        <f t="shared" si="40"/>
        <v>0</v>
      </c>
      <c r="K99" s="4">
        <f t="shared" si="40"/>
        <v>0</v>
      </c>
      <c r="L99" s="4">
        <f t="shared" si="40"/>
        <v>0</v>
      </c>
      <c r="M99" s="4">
        <f t="shared" si="40"/>
        <v>-1292.67971840267</v>
      </c>
      <c r="N99" s="4">
        <f t="shared" si="40"/>
        <v>1968.8612233840399</v>
      </c>
      <c r="O99" s="4">
        <f t="shared" si="40"/>
        <v>274.2388467846456</v>
      </c>
      <c r="P99" s="4">
        <f t="shared" si="40"/>
        <v>0</v>
      </c>
      <c r="Q99" s="4">
        <f t="shared" si="40"/>
        <v>0</v>
      </c>
      <c r="R99" s="4">
        <f t="shared" si="40"/>
        <v>0</v>
      </c>
      <c r="S99" s="4">
        <f t="shared" si="40"/>
        <v>-224.18231898129699</v>
      </c>
      <c r="T99" s="4">
        <f t="shared" si="40"/>
        <v>0</v>
      </c>
      <c r="U99" s="4">
        <f t="shared" si="40"/>
        <v>0</v>
      </c>
      <c r="V99" s="4">
        <f t="shared" si="40"/>
        <v>1108.3631889146211</v>
      </c>
      <c r="X99" s="3">
        <f t="shared" si="25"/>
        <v>1.9038004351200095</v>
      </c>
    </row>
    <row r="100" spans="1:24" x14ac:dyDescent="0.2">
      <c r="A100">
        <v>6004</v>
      </c>
      <c r="B100">
        <v>25</v>
      </c>
      <c r="C100" s="4">
        <f t="shared" ref="C100:V100" si="41">+(C59-C19)</f>
        <v>0</v>
      </c>
      <c r="D100" s="4">
        <f t="shared" si="41"/>
        <v>0</v>
      </c>
      <c r="E100" s="4">
        <f t="shared" si="41"/>
        <v>0</v>
      </c>
      <c r="F100" s="4">
        <f t="shared" si="41"/>
        <v>0</v>
      </c>
      <c r="G100" s="4">
        <f t="shared" si="41"/>
        <v>0</v>
      </c>
      <c r="H100" s="4">
        <f t="shared" si="41"/>
        <v>0</v>
      </c>
      <c r="I100" s="4">
        <f t="shared" si="41"/>
        <v>50.277576024696948</v>
      </c>
      <c r="J100" s="4">
        <f t="shared" si="41"/>
        <v>0</v>
      </c>
      <c r="K100" s="4">
        <f>+(K59-K19)</f>
        <v>-3435.08039263103</v>
      </c>
      <c r="L100" s="4">
        <f t="shared" si="41"/>
        <v>0</v>
      </c>
      <c r="M100" s="4">
        <f t="shared" si="41"/>
        <v>-6596.3229244275908</v>
      </c>
      <c r="N100" s="4">
        <f t="shared" si="41"/>
        <v>2007.7313242243399</v>
      </c>
      <c r="O100" s="4">
        <f t="shared" si="41"/>
        <v>278.20019126641603</v>
      </c>
      <c r="P100" s="4">
        <f t="shared" si="41"/>
        <v>-2237.5783533311001</v>
      </c>
      <c r="Q100" s="4">
        <f t="shared" si="41"/>
        <v>0</v>
      </c>
      <c r="R100" s="4">
        <f t="shared" si="41"/>
        <v>0</v>
      </c>
      <c r="S100" s="4">
        <f t="shared" si="41"/>
        <v>-2721.3929075573001</v>
      </c>
      <c r="T100" s="4">
        <f t="shared" si="41"/>
        <v>0</v>
      </c>
      <c r="U100" s="4">
        <f t="shared" si="41"/>
        <v>0</v>
      </c>
      <c r="V100" s="4">
        <f t="shared" si="41"/>
        <v>3237.6678736414988</v>
      </c>
      <c r="X100" s="3">
        <f t="shared" si="25"/>
        <v>-9.416497612790069</v>
      </c>
    </row>
    <row r="101" spans="1:24" x14ac:dyDescent="0.2">
      <c r="A101">
        <v>6004</v>
      </c>
      <c r="B101">
        <v>26</v>
      </c>
      <c r="C101" s="4">
        <f t="shared" ref="C101:V101" si="42">+(C60-C20)</f>
        <v>0</v>
      </c>
      <c r="D101" s="4">
        <f t="shared" si="42"/>
        <v>0</v>
      </c>
      <c r="E101" s="4">
        <f t="shared" si="42"/>
        <v>0</v>
      </c>
      <c r="F101" s="4">
        <f t="shared" si="42"/>
        <v>0</v>
      </c>
      <c r="G101" s="4">
        <f t="shared" si="42"/>
        <v>0</v>
      </c>
      <c r="H101" s="4">
        <f t="shared" si="42"/>
        <v>0</v>
      </c>
      <c r="I101" s="4">
        <f t="shared" si="42"/>
        <v>64.136423349803408</v>
      </c>
      <c r="J101" s="4">
        <f t="shared" si="42"/>
        <v>0</v>
      </c>
      <c r="K101" s="4">
        <f t="shared" si="42"/>
        <v>-266.16426146419599</v>
      </c>
      <c r="L101" s="4">
        <f t="shared" si="42"/>
        <v>0</v>
      </c>
      <c r="M101" s="4">
        <f t="shared" si="42"/>
        <v>-908.57437276657799</v>
      </c>
      <c r="N101" s="4">
        <f t="shared" si="42"/>
        <v>2867.3601087191</v>
      </c>
      <c r="O101" s="4">
        <f t="shared" si="42"/>
        <v>279.91780608792885</v>
      </c>
      <c r="P101" s="4">
        <f t="shared" si="42"/>
        <v>-1011.5033734564799</v>
      </c>
      <c r="Q101" s="4">
        <f t="shared" si="42"/>
        <v>0</v>
      </c>
      <c r="R101" s="4">
        <f t="shared" si="42"/>
        <v>0</v>
      </c>
      <c r="S101" s="4">
        <f t="shared" si="42"/>
        <v>-3320.7600726138198</v>
      </c>
      <c r="T101" s="4">
        <f t="shared" si="42"/>
        <v>-168.24363764522701</v>
      </c>
      <c r="U101" s="4">
        <f t="shared" si="42"/>
        <v>0</v>
      </c>
      <c r="V101" s="4">
        <f t="shared" si="42"/>
        <v>0</v>
      </c>
      <c r="X101" s="3">
        <f t="shared" si="25"/>
        <v>-2.4638313797894682</v>
      </c>
    </row>
    <row r="102" spans="1:24" x14ac:dyDescent="0.2">
      <c r="A102">
        <v>6004</v>
      </c>
      <c r="B102">
        <v>27</v>
      </c>
      <c r="C102" s="4">
        <f t="shared" ref="C102:V102" si="43">+(C61-C21)</f>
        <v>0</v>
      </c>
      <c r="D102" s="4">
        <f t="shared" si="43"/>
        <v>0</v>
      </c>
      <c r="E102" s="4">
        <f t="shared" si="43"/>
        <v>0</v>
      </c>
      <c r="F102" s="4">
        <f t="shared" si="43"/>
        <v>0</v>
      </c>
      <c r="G102" s="4">
        <f t="shared" si="43"/>
        <v>0</v>
      </c>
      <c r="H102" s="4">
        <f t="shared" si="43"/>
        <v>0</v>
      </c>
      <c r="I102" s="4">
        <f t="shared" si="43"/>
        <v>67.06318664045618</v>
      </c>
      <c r="J102" s="4">
        <f t="shared" si="43"/>
        <v>0</v>
      </c>
      <c r="K102" s="4">
        <f t="shared" si="43"/>
        <v>-275.87687092777998</v>
      </c>
      <c r="L102" s="4">
        <f t="shared" si="43"/>
        <v>0</v>
      </c>
      <c r="M102" s="4">
        <f t="shared" si="43"/>
        <v>-1386.40374696053</v>
      </c>
      <c r="N102" s="4">
        <f t="shared" si="43"/>
        <v>2541.3032136771699</v>
      </c>
      <c r="O102" s="4">
        <f t="shared" si="43"/>
        <v>281.02253258745577</v>
      </c>
      <c r="P102" s="4">
        <f t="shared" si="43"/>
        <v>-1343.6532733152801</v>
      </c>
      <c r="Q102" s="4">
        <f t="shared" si="43"/>
        <v>0</v>
      </c>
      <c r="R102" s="4">
        <f t="shared" si="43"/>
        <v>0</v>
      </c>
      <c r="S102" s="4">
        <f t="shared" si="43"/>
        <v>-140.54551477325001</v>
      </c>
      <c r="T102" s="4">
        <f t="shared" si="43"/>
        <v>52.463030296686981</v>
      </c>
      <c r="U102" s="4">
        <f t="shared" si="43"/>
        <v>0</v>
      </c>
      <c r="V102" s="4">
        <f t="shared" si="43"/>
        <v>-202.66981297435001</v>
      </c>
      <c r="X102" s="3">
        <f t="shared" si="25"/>
        <v>-0.40729725574942116</v>
      </c>
    </row>
    <row r="103" spans="1:24" x14ac:dyDescent="0.2">
      <c r="A103">
        <v>6004</v>
      </c>
      <c r="B103">
        <v>28</v>
      </c>
      <c r="C103" s="4">
        <f t="shared" ref="C103:V103" si="44">+(C62-C22)</f>
        <v>0</v>
      </c>
      <c r="D103" s="4">
        <f t="shared" si="44"/>
        <v>0</v>
      </c>
      <c r="E103" s="4">
        <f t="shared" si="44"/>
        <v>0</v>
      </c>
      <c r="F103" s="4">
        <f t="shared" si="44"/>
        <v>0</v>
      </c>
      <c r="G103" s="4">
        <f t="shared" si="44"/>
        <v>0</v>
      </c>
      <c r="H103" s="4">
        <f t="shared" si="44"/>
        <v>0</v>
      </c>
      <c r="I103" s="4">
        <f t="shared" si="44"/>
        <v>69.926853257188412</v>
      </c>
      <c r="J103" s="4">
        <f t="shared" si="44"/>
        <v>0</v>
      </c>
      <c r="K103" s="4">
        <f t="shared" si="44"/>
        <v>-283.702219814508</v>
      </c>
      <c r="L103" s="4">
        <f t="shared" si="44"/>
        <v>0</v>
      </c>
      <c r="M103" s="4">
        <f t="shared" si="44"/>
        <v>-876.87213372557903</v>
      </c>
      <c r="N103" s="4">
        <f t="shared" si="44"/>
        <v>742.45110177171102</v>
      </c>
      <c r="O103" s="4">
        <f t="shared" si="44"/>
        <v>280.9623054968049</v>
      </c>
      <c r="P103" s="4">
        <f t="shared" si="44"/>
        <v>-1058.8687367728701</v>
      </c>
      <c r="Q103" s="4">
        <f t="shared" si="44"/>
        <v>0</v>
      </c>
      <c r="R103" s="4">
        <f t="shared" si="44"/>
        <v>0</v>
      </c>
      <c r="S103" s="4">
        <f t="shared" si="44"/>
        <v>-143.06469513402499</v>
      </c>
      <c r="T103" s="4">
        <f t="shared" si="44"/>
        <v>667.06258751620999</v>
      </c>
      <c r="U103" s="4">
        <f t="shared" si="44"/>
        <v>-305.57805531343581</v>
      </c>
      <c r="V103" s="4">
        <f t="shared" si="44"/>
        <v>579.80307000960329</v>
      </c>
      <c r="X103" s="3">
        <f t="shared" si="25"/>
        <v>-0.32787992270890015</v>
      </c>
    </row>
    <row r="104" spans="1:24" x14ac:dyDescent="0.2">
      <c r="A104">
        <v>6004</v>
      </c>
      <c r="B104">
        <v>29</v>
      </c>
      <c r="C104" s="4">
        <f t="shared" ref="C104:V104" si="45">+(C63-C23)</f>
        <v>0</v>
      </c>
      <c r="D104" s="4">
        <f t="shared" si="45"/>
        <v>0</v>
      </c>
      <c r="E104" s="4">
        <f t="shared" si="45"/>
        <v>0</v>
      </c>
      <c r="F104" s="4">
        <f t="shared" si="45"/>
        <v>0</v>
      </c>
      <c r="G104" s="4">
        <f t="shared" si="45"/>
        <v>0</v>
      </c>
      <c r="H104" s="4">
        <f t="shared" si="45"/>
        <v>0</v>
      </c>
      <c r="I104" s="4">
        <f t="shared" si="45"/>
        <v>72.731021079076598</v>
      </c>
      <c r="J104" s="4">
        <f t="shared" si="45"/>
        <v>0</v>
      </c>
      <c r="K104" s="4">
        <f>+(K63-K23)</f>
        <v>-4675.3411458702813</v>
      </c>
      <c r="L104" s="4">
        <f t="shared" si="45"/>
        <v>0</v>
      </c>
      <c r="M104" s="4">
        <f t="shared" si="45"/>
        <v>-902.90785750648604</v>
      </c>
      <c r="N104" s="4">
        <f t="shared" si="45"/>
        <v>2065.7635494330798</v>
      </c>
      <c r="O104" s="4">
        <f t="shared" si="45"/>
        <v>281.14975658153179</v>
      </c>
      <c r="P104" s="4">
        <f t="shared" si="45"/>
        <v>-914.60081872931198</v>
      </c>
      <c r="Q104" s="4">
        <f t="shared" si="45"/>
        <v>0</v>
      </c>
      <c r="R104" s="4">
        <f t="shared" si="45"/>
        <v>0</v>
      </c>
      <c r="S104" s="4">
        <f t="shared" si="45"/>
        <v>-395.40121028452597</v>
      </c>
      <c r="T104" s="4">
        <f t="shared" si="45"/>
        <v>190.22669190111799</v>
      </c>
      <c r="U104" s="4">
        <f t="shared" si="45"/>
        <v>-4.6319230926370096</v>
      </c>
      <c r="V104" s="4">
        <f t="shared" si="45"/>
        <v>811.55441839967989</v>
      </c>
      <c r="X104" s="3">
        <f t="shared" si="25"/>
        <v>-3.4714575180887572</v>
      </c>
    </row>
    <row r="105" spans="1:24" x14ac:dyDescent="0.2">
      <c r="A105">
        <v>6004</v>
      </c>
      <c r="B105">
        <v>30</v>
      </c>
      <c r="C105" s="4">
        <f t="shared" ref="C105:V105" si="46">+(C64-C24)</f>
        <v>0</v>
      </c>
      <c r="D105" s="4">
        <f t="shared" si="46"/>
        <v>0</v>
      </c>
      <c r="E105" s="4">
        <f t="shared" si="46"/>
        <v>0</v>
      </c>
      <c r="F105" s="4">
        <f t="shared" si="46"/>
        <v>0</v>
      </c>
      <c r="G105" s="4">
        <f t="shared" si="46"/>
        <v>0</v>
      </c>
      <c r="H105" s="4">
        <f t="shared" si="46"/>
        <v>0</v>
      </c>
      <c r="I105" s="4">
        <f t="shared" si="46"/>
        <v>75.598642178232893</v>
      </c>
      <c r="J105" s="4">
        <f t="shared" si="46"/>
        <v>0</v>
      </c>
      <c r="K105" s="4">
        <f t="shared" si="46"/>
        <v>-301.12556503290898</v>
      </c>
      <c r="L105" s="4">
        <f t="shared" si="46"/>
        <v>0</v>
      </c>
      <c r="M105" s="4">
        <f t="shared" si="46"/>
        <v>-3781.5793167125798</v>
      </c>
      <c r="N105" s="4">
        <f t="shared" si="46"/>
        <v>4770.0981764325297</v>
      </c>
      <c r="O105" s="4">
        <f t="shared" si="46"/>
        <v>279.66076590260229</v>
      </c>
      <c r="P105" s="4">
        <f t="shared" si="46"/>
        <v>-747.38533232621296</v>
      </c>
      <c r="Q105" s="4">
        <f t="shared" si="46"/>
        <v>-7.6703917892300524</v>
      </c>
      <c r="R105" s="4">
        <f t="shared" si="46"/>
        <v>0</v>
      </c>
      <c r="S105" s="4">
        <f t="shared" si="46"/>
        <v>-931.78652458801605</v>
      </c>
      <c r="T105" s="4">
        <f t="shared" si="46"/>
        <v>408.01194656090001</v>
      </c>
      <c r="U105" s="4">
        <f t="shared" si="46"/>
        <v>-3.0666303821469683</v>
      </c>
      <c r="V105" s="4">
        <f t="shared" si="46"/>
        <v>414.15683281351505</v>
      </c>
      <c r="X105" s="3">
        <f t="shared" si="25"/>
        <v>0.17491260305668482</v>
      </c>
    </row>
    <row r="106" spans="1:24" x14ac:dyDescent="0.2">
      <c r="A106">
        <v>6004</v>
      </c>
      <c r="B106">
        <v>31</v>
      </c>
      <c r="C106" s="4">
        <f t="shared" ref="C106:V106" si="47">+(C65-C25)</f>
        <v>0</v>
      </c>
      <c r="D106" s="4">
        <f t="shared" si="47"/>
        <v>0</v>
      </c>
      <c r="E106" s="4">
        <f t="shared" si="47"/>
        <v>0</v>
      </c>
      <c r="F106" s="4">
        <f t="shared" si="47"/>
        <v>0</v>
      </c>
      <c r="G106" s="4">
        <f t="shared" si="47"/>
        <v>0</v>
      </c>
      <c r="H106" s="4">
        <f t="shared" si="47"/>
        <v>0</v>
      </c>
      <c r="I106" s="4">
        <f t="shared" si="47"/>
        <v>89.778499622052692</v>
      </c>
      <c r="J106" s="4">
        <f t="shared" si="47"/>
        <v>0</v>
      </c>
      <c r="K106" s="4">
        <f t="shared" si="47"/>
        <v>-310.76766543916301</v>
      </c>
      <c r="L106" s="4">
        <f t="shared" si="47"/>
        <v>0</v>
      </c>
      <c r="M106" s="4">
        <f t="shared" si="47"/>
        <v>-954.65796328450904</v>
      </c>
      <c r="N106" s="4">
        <f t="shared" si="47"/>
        <v>0</v>
      </c>
      <c r="O106" s="4">
        <f t="shared" si="47"/>
        <v>276.87253285371611</v>
      </c>
      <c r="P106" s="4">
        <f t="shared" si="47"/>
        <v>-514.94266470086802</v>
      </c>
      <c r="Q106" s="4">
        <f t="shared" si="47"/>
        <v>0</v>
      </c>
      <c r="R106" s="4">
        <f t="shared" si="47"/>
        <v>0</v>
      </c>
      <c r="S106" s="4">
        <f t="shared" si="47"/>
        <v>-861.58075620165698</v>
      </c>
      <c r="T106" s="4">
        <f t="shared" si="47"/>
        <v>392.70791942476603</v>
      </c>
      <c r="U106" s="4">
        <f t="shared" si="47"/>
        <v>-1.2022690316579769</v>
      </c>
      <c r="V106" s="4">
        <f t="shared" si="47"/>
        <v>1654.7094711771001</v>
      </c>
      <c r="X106" s="3">
        <f t="shared" si="25"/>
        <v>-0.2290828955802201</v>
      </c>
    </row>
    <row r="107" spans="1:24" x14ac:dyDescent="0.2">
      <c r="A107">
        <v>6004</v>
      </c>
      <c r="B107">
        <v>32</v>
      </c>
      <c r="C107" s="4">
        <f t="shared" ref="C107:V107" si="48">+(C66-C26)</f>
        <v>0</v>
      </c>
      <c r="D107" s="4">
        <f t="shared" si="48"/>
        <v>0</v>
      </c>
      <c r="E107" s="4">
        <f t="shared" si="48"/>
        <v>0</v>
      </c>
      <c r="F107" s="4">
        <f t="shared" si="48"/>
        <v>0</v>
      </c>
      <c r="G107" s="4">
        <f t="shared" si="48"/>
        <v>0</v>
      </c>
      <c r="H107" s="4">
        <f t="shared" si="48"/>
        <v>0</v>
      </c>
      <c r="I107" s="4">
        <f t="shared" si="48"/>
        <v>94.2239706501189</v>
      </c>
      <c r="J107" s="4">
        <f t="shared" si="48"/>
        <v>0</v>
      </c>
      <c r="K107" s="4">
        <f t="shared" si="48"/>
        <v>-325.93674835672198</v>
      </c>
      <c r="L107" s="4">
        <f t="shared" si="48"/>
        <v>0</v>
      </c>
      <c r="M107" s="4">
        <f t="shared" si="48"/>
        <v>-975.93449695926904</v>
      </c>
      <c r="N107" s="4">
        <f t="shared" si="48"/>
        <v>1438.60075479327</v>
      </c>
      <c r="O107" s="4">
        <f t="shared" si="48"/>
        <v>273.30916431080919</v>
      </c>
      <c r="P107" s="4">
        <f t="shared" si="48"/>
        <v>-540.75064242036296</v>
      </c>
      <c r="Q107" s="4">
        <f t="shared" si="48"/>
        <v>0</v>
      </c>
      <c r="R107" s="4">
        <f t="shared" si="48"/>
        <v>0</v>
      </c>
      <c r="S107" s="4">
        <f t="shared" si="48"/>
        <v>-1501.23483094259</v>
      </c>
      <c r="T107" s="4">
        <f t="shared" si="48"/>
        <v>376.25139965182007</v>
      </c>
      <c r="U107" s="4">
        <f t="shared" si="48"/>
        <v>0.366797790335049</v>
      </c>
      <c r="V107" s="4">
        <f t="shared" si="48"/>
        <v>841.85387582975909</v>
      </c>
      <c r="X107" s="3">
        <f t="shared" si="25"/>
        <v>-0.31925075565283167</v>
      </c>
    </row>
    <row r="108" spans="1:24" x14ac:dyDescent="0.2">
      <c r="A108">
        <v>6004</v>
      </c>
      <c r="B108">
        <v>33</v>
      </c>
      <c r="C108" s="4">
        <f t="shared" ref="C108:V108" si="49">+(C67-C27)</f>
        <v>0</v>
      </c>
      <c r="D108" s="4">
        <f t="shared" si="49"/>
        <v>0</v>
      </c>
      <c r="E108" s="4">
        <f t="shared" si="49"/>
        <v>0</v>
      </c>
      <c r="F108" s="4">
        <f t="shared" si="49"/>
        <v>0</v>
      </c>
      <c r="G108" s="4">
        <f t="shared" si="49"/>
        <v>0</v>
      </c>
      <c r="H108" s="4">
        <f t="shared" si="49"/>
        <v>0</v>
      </c>
      <c r="I108" s="4">
        <f t="shared" si="49"/>
        <v>101.098759407638</v>
      </c>
      <c r="J108" s="4">
        <f t="shared" si="49"/>
        <v>0</v>
      </c>
      <c r="K108" s="4">
        <f t="shared" si="49"/>
        <v>-334.71316552452703</v>
      </c>
      <c r="L108" s="4">
        <f t="shared" si="49"/>
        <v>0</v>
      </c>
      <c r="M108" s="4">
        <f t="shared" si="49"/>
        <v>-2971.79323400868</v>
      </c>
      <c r="N108" s="4">
        <f t="shared" si="49"/>
        <v>2039.6959653050501</v>
      </c>
      <c r="O108" s="4">
        <f t="shared" si="49"/>
        <v>269.38230301358578</v>
      </c>
      <c r="P108" s="4">
        <f t="shared" si="49"/>
        <v>-523.490205442101</v>
      </c>
      <c r="Q108" s="4">
        <f t="shared" si="49"/>
        <v>0</v>
      </c>
      <c r="R108" s="4">
        <f t="shared" si="49"/>
        <v>0</v>
      </c>
      <c r="S108" s="4">
        <f t="shared" si="49"/>
        <v>-158.06456523008799</v>
      </c>
      <c r="T108" s="4">
        <f t="shared" si="49"/>
        <v>359.32153021264401</v>
      </c>
      <c r="U108" s="4">
        <f t="shared" si="49"/>
        <v>1.3304861436547699</v>
      </c>
      <c r="V108" s="4">
        <f t="shared" si="49"/>
        <v>1720.8534245994001</v>
      </c>
      <c r="X108" s="3">
        <f t="shared" si="25"/>
        <v>0.50362129847657688</v>
      </c>
    </row>
    <row r="109" spans="1:24" x14ac:dyDescent="0.2">
      <c r="A109">
        <v>6004</v>
      </c>
      <c r="B109">
        <v>34</v>
      </c>
      <c r="C109" s="4">
        <f t="shared" ref="C109:V109" si="50">+(C68-C28)</f>
        <v>0</v>
      </c>
      <c r="D109" s="4">
        <f t="shared" si="50"/>
        <v>0</v>
      </c>
      <c r="E109" s="4">
        <f t="shared" si="50"/>
        <v>0</v>
      </c>
      <c r="F109" s="4">
        <f t="shared" si="50"/>
        <v>0</v>
      </c>
      <c r="G109" s="4">
        <f t="shared" si="50"/>
        <v>0</v>
      </c>
      <c r="H109" s="4">
        <f t="shared" si="50"/>
        <v>0</v>
      </c>
      <c r="I109" s="4">
        <f t="shared" si="50"/>
        <v>111.72142871033751</v>
      </c>
      <c r="J109" s="4">
        <f t="shared" si="50"/>
        <v>0</v>
      </c>
      <c r="K109" s="4">
        <f t="shared" si="50"/>
        <v>-330.10668706093702</v>
      </c>
      <c r="L109" s="4">
        <f t="shared" si="50"/>
        <v>0</v>
      </c>
      <c r="M109" s="4">
        <f t="shared" si="50"/>
        <v>-1041.5769452895499</v>
      </c>
      <c r="N109" s="4">
        <f t="shared" si="50"/>
        <v>2028.0523601346199</v>
      </c>
      <c r="O109" s="4">
        <f t="shared" si="50"/>
        <v>265.3176380740083</v>
      </c>
      <c r="P109" s="4">
        <f t="shared" si="50"/>
        <v>-525.03894699024499</v>
      </c>
      <c r="Q109" s="4">
        <f t="shared" si="50"/>
        <v>0</v>
      </c>
      <c r="R109" s="4">
        <f t="shared" si="50"/>
        <v>0</v>
      </c>
      <c r="S109" s="4">
        <f t="shared" si="50"/>
        <v>-1355.4366556155201</v>
      </c>
      <c r="T109" s="4">
        <f t="shared" si="50"/>
        <v>342.26044486890999</v>
      </c>
      <c r="U109" s="4">
        <f t="shared" si="50"/>
        <v>0</v>
      </c>
      <c r="V109" s="4">
        <f t="shared" si="50"/>
        <v>723.60172083840189</v>
      </c>
      <c r="X109" s="3">
        <f t="shared" si="25"/>
        <v>0.21879435767002553</v>
      </c>
    </row>
    <row r="110" spans="1:24" x14ac:dyDescent="0.2">
      <c r="A110">
        <v>6004</v>
      </c>
      <c r="B110">
        <v>35</v>
      </c>
      <c r="C110" s="4">
        <f t="shared" ref="C110:V110" si="51">+(C69-C29)</f>
        <v>0</v>
      </c>
      <c r="D110" s="4">
        <f t="shared" si="51"/>
        <v>0</v>
      </c>
      <c r="E110" s="4">
        <f t="shared" si="51"/>
        <v>0</v>
      </c>
      <c r="F110" s="4">
        <f t="shared" si="51"/>
        <v>0</v>
      </c>
      <c r="G110" s="4">
        <f t="shared" si="51"/>
        <v>0</v>
      </c>
      <c r="H110" s="4">
        <f t="shared" si="51"/>
        <v>0</v>
      </c>
      <c r="I110" s="4">
        <f t="shared" si="51"/>
        <v>118.1013475704796</v>
      </c>
      <c r="J110" s="4">
        <f t="shared" si="51"/>
        <v>0</v>
      </c>
      <c r="K110" s="4">
        <f t="shared" si="51"/>
        <v>-343.57237808841103</v>
      </c>
      <c r="L110" s="4">
        <f t="shared" si="51"/>
        <v>0</v>
      </c>
      <c r="M110" s="4">
        <f t="shared" si="51"/>
        <v>-3594.1756061468</v>
      </c>
      <c r="N110" s="4">
        <f t="shared" si="51"/>
        <v>2059.15658971844</v>
      </c>
      <c r="O110" s="4">
        <f t="shared" si="51"/>
        <v>260.87281967508738</v>
      </c>
      <c r="P110" s="4">
        <f t="shared" si="51"/>
        <v>-531.19891859695599</v>
      </c>
      <c r="Q110" s="4">
        <f t="shared" si="51"/>
        <v>0</v>
      </c>
      <c r="R110" s="4">
        <f t="shared" si="51"/>
        <v>0</v>
      </c>
      <c r="S110" s="4">
        <f t="shared" si="51"/>
        <v>-163.744455286207</v>
      </c>
      <c r="T110" s="4">
        <f t="shared" si="51"/>
        <v>327.22890902653495</v>
      </c>
      <c r="U110" s="4">
        <f t="shared" si="51"/>
        <v>0</v>
      </c>
      <c r="V110" s="4">
        <f t="shared" si="51"/>
        <v>999.42239977392092</v>
      </c>
      <c r="X110" s="3">
        <f t="shared" si="25"/>
        <v>-0.86790929235391101</v>
      </c>
    </row>
    <row r="111" spans="1:24" x14ac:dyDescent="0.2">
      <c r="A111">
        <v>6004</v>
      </c>
      <c r="B111">
        <v>36</v>
      </c>
      <c r="C111" s="4">
        <f t="shared" ref="C111:V111" si="52">+(C70-C30)</f>
        <v>0</v>
      </c>
      <c r="D111" s="4">
        <f t="shared" si="52"/>
        <v>0</v>
      </c>
      <c r="E111" s="4">
        <f t="shared" si="52"/>
        <v>0</v>
      </c>
      <c r="F111" s="4">
        <f t="shared" si="52"/>
        <v>0</v>
      </c>
      <c r="G111" s="4">
        <f t="shared" si="52"/>
        <v>0</v>
      </c>
      <c r="H111" s="4">
        <f t="shared" si="52"/>
        <v>0</v>
      </c>
      <c r="I111" s="4">
        <f t="shared" si="52"/>
        <v>121.4927974305327</v>
      </c>
      <c r="J111" s="4">
        <f t="shared" si="52"/>
        <v>0</v>
      </c>
      <c r="K111" s="4">
        <f t="shared" si="52"/>
        <v>-387.96044768737403</v>
      </c>
      <c r="L111" s="4">
        <f t="shared" si="52"/>
        <v>0</v>
      </c>
      <c r="M111" s="4">
        <f t="shared" si="52"/>
        <v>-1426.63777473766</v>
      </c>
      <c r="N111" s="4">
        <f t="shared" si="52"/>
        <v>3436.6608172593501</v>
      </c>
      <c r="O111" s="4">
        <f t="shared" si="52"/>
        <v>264.15435534432436</v>
      </c>
      <c r="P111" s="4">
        <f t="shared" si="52"/>
        <v>-579.24687902667699</v>
      </c>
      <c r="Q111" s="4">
        <f t="shared" si="52"/>
        <v>0</v>
      </c>
      <c r="R111" s="4">
        <f t="shared" si="52"/>
        <v>0</v>
      </c>
      <c r="S111" s="4">
        <f t="shared" si="52"/>
        <v>-154.08265660769601</v>
      </c>
      <c r="T111" s="4">
        <f t="shared" si="52"/>
        <v>356.14057753319503</v>
      </c>
      <c r="U111" s="4">
        <f t="shared" si="52"/>
        <v>0</v>
      </c>
      <c r="V111" s="4">
        <f t="shared" si="52"/>
        <v>1188.6141992177209</v>
      </c>
      <c r="X111" s="3">
        <f t="shared" si="25"/>
        <v>2.8191349887257156</v>
      </c>
    </row>
    <row r="112" spans="1:24" x14ac:dyDescent="0.2">
      <c r="A112">
        <v>6004</v>
      </c>
      <c r="B112">
        <v>37</v>
      </c>
      <c r="C112" s="4">
        <f t="shared" ref="C112:V112" si="53">+(C71-C31)</f>
        <v>0</v>
      </c>
      <c r="D112" s="4">
        <f t="shared" si="53"/>
        <v>0</v>
      </c>
      <c r="E112" s="4">
        <f t="shared" si="53"/>
        <v>0</v>
      </c>
      <c r="F112" s="4">
        <f t="shared" si="53"/>
        <v>0</v>
      </c>
      <c r="G112" s="4">
        <f t="shared" si="53"/>
        <v>0</v>
      </c>
      <c r="H112" s="4">
        <f t="shared" si="53"/>
        <v>0</v>
      </c>
      <c r="I112" s="4">
        <f t="shared" si="53"/>
        <v>127.8156715313584</v>
      </c>
      <c r="J112" s="4">
        <f t="shared" si="53"/>
        <v>0</v>
      </c>
      <c r="K112" s="4">
        <f t="shared" si="53"/>
        <v>-392.44630043074801</v>
      </c>
      <c r="L112" s="4">
        <f t="shared" si="53"/>
        <v>0</v>
      </c>
      <c r="M112" s="4">
        <f t="shared" si="53"/>
        <v>-2073.1487116918302</v>
      </c>
      <c r="N112" s="4">
        <f t="shared" si="53"/>
        <v>3492.7425573656401</v>
      </c>
      <c r="O112" s="4">
        <f t="shared" si="53"/>
        <v>256.69636999220779</v>
      </c>
      <c r="P112" s="4">
        <f t="shared" si="53"/>
        <v>-585.87398212439496</v>
      </c>
      <c r="Q112" s="4">
        <f t="shared" si="53"/>
        <v>0</v>
      </c>
      <c r="R112" s="4">
        <f t="shared" si="53"/>
        <v>0</v>
      </c>
      <c r="S112" s="4">
        <f t="shared" si="53"/>
        <v>-942.61077363656398</v>
      </c>
      <c r="T112" s="4">
        <f t="shared" si="53"/>
        <v>335.1996636923302</v>
      </c>
      <c r="U112" s="4">
        <f t="shared" si="53"/>
        <v>0</v>
      </c>
      <c r="V112" s="4">
        <f t="shared" si="53"/>
        <v>2438.341711141115</v>
      </c>
      <c r="X112" s="3">
        <f t="shared" si="25"/>
        <v>2.6567162058391141</v>
      </c>
    </row>
    <row r="113" spans="1:24" x14ac:dyDescent="0.2">
      <c r="A113">
        <v>6004</v>
      </c>
      <c r="B113">
        <v>38</v>
      </c>
      <c r="C113" s="4">
        <f t="shared" ref="C113:V113" si="54">+(C72-C32)</f>
        <v>0</v>
      </c>
      <c r="D113" s="4">
        <f t="shared" si="54"/>
        <v>0</v>
      </c>
      <c r="E113" s="4">
        <f t="shared" si="54"/>
        <v>0</v>
      </c>
      <c r="F113" s="4">
        <f t="shared" si="54"/>
        <v>0</v>
      </c>
      <c r="G113" s="4">
        <f t="shared" si="54"/>
        <v>0</v>
      </c>
      <c r="H113" s="4">
        <f t="shared" si="54"/>
        <v>0</v>
      </c>
      <c r="I113" s="4">
        <f t="shared" si="54"/>
        <v>134.12497026690758</v>
      </c>
      <c r="J113" s="4">
        <f t="shared" si="54"/>
        <v>0</v>
      </c>
      <c r="K113" s="4">
        <f t="shared" si="54"/>
        <v>-393.899258993817</v>
      </c>
      <c r="L113" s="4">
        <f t="shared" si="54"/>
        <v>0</v>
      </c>
      <c r="M113" s="4">
        <f t="shared" si="54"/>
        <v>-3111.2043230305298</v>
      </c>
      <c r="N113" s="4">
        <f t="shared" si="54"/>
        <v>10611.9244104602</v>
      </c>
      <c r="O113" s="4">
        <f t="shared" si="54"/>
        <v>249.12733151604439</v>
      </c>
      <c r="P113" s="4">
        <f t="shared" si="54"/>
        <v>-587.87416010195</v>
      </c>
      <c r="Q113" s="4">
        <f t="shared" si="54"/>
        <v>0</v>
      </c>
      <c r="R113" s="4">
        <f t="shared" si="54"/>
        <v>0</v>
      </c>
      <c r="S113" s="4">
        <f t="shared" si="54"/>
        <v>-164.53711861152999</v>
      </c>
      <c r="T113" s="4">
        <f t="shared" si="54"/>
        <v>404.24151430892601</v>
      </c>
      <c r="U113" s="4">
        <f t="shared" si="54"/>
        <v>0</v>
      </c>
      <c r="V113" s="4">
        <f t="shared" si="54"/>
        <v>5108.7129771760638</v>
      </c>
      <c r="X113" s="3">
        <f t="shared" si="25"/>
        <v>12.250616342990314</v>
      </c>
    </row>
    <row r="114" spans="1:24" x14ac:dyDescent="0.2">
      <c r="A114">
        <v>6004</v>
      </c>
      <c r="B114">
        <v>39</v>
      </c>
      <c r="C114" s="4">
        <f t="shared" ref="C114:V114" si="55">+(C73-C33)</f>
        <v>0</v>
      </c>
      <c r="D114" s="4">
        <f t="shared" si="55"/>
        <v>0</v>
      </c>
      <c r="E114" s="4">
        <f t="shared" si="55"/>
        <v>0</v>
      </c>
      <c r="F114" s="4">
        <f t="shared" si="55"/>
        <v>0</v>
      </c>
      <c r="G114" s="4">
        <f t="shared" si="55"/>
        <v>0</v>
      </c>
      <c r="H114" s="4">
        <f t="shared" si="55"/>
        <v>0</v>
      </c>
      <c r="I114" s="4">
        <f t="shared" si="55"/>
        <v>140.55511283599751</v>
      </c>
      <c r="J114" s="4">
        <f t="shared" si="55"/>
        <v>0</v>
      </c>
      <c r="K114" s="4">
        <f t="shared" si="55"/>
        <v>-395.32389711228501</v>
      </c>
      <c r="L114" s="4">
        <f t="shared" si="55"/>
        <v>0</v>
      </c>
      <c r="M114" s="4">
        <f t="shared" si="55"/>
        <v>-2569.4337471426502</v>
      </c>
      <c r="N114" s="4">
        <f t="shared" si="55"/>
        <v>340.19700191983998</v>
      </c>
      <c r="O114" s="4">
        <f t="shared" si="55"/>
        <v>233.8252646714908</v>
      </c>
      <c r="P114" s="4">
        <f t="shared" si="55"/>
        <v>0</v>
      </c>
      <c r="Q114" s="4">
        <f t="shared" si="55"/>
        <v>0</v>
      </c>
      <c r="R114" s="4">
        <f t="shared" si="55"/>
        <v>0</v>
      </c>
      <c r="S114" s="4">
        <f t="shared" si="55"/>
        <v>-169.44160860321699</v>
      </c>
      <c r="T114" s="4">
        <f t="shared" si="55"/>
        <v>528.80317904041215</v>
      </c>
      <c r="U114" s="4">
        <f t="shared" si="55"/>
        <v>0</v>
      </c>
      <c r="V114" s="4">
        <f t="shared" si="55"/>
        <v>-579.45074582470602</v>
      </c>
      <c r="X114" s="3">
        <f t="shared" si="25"/>
        <v>-2.4702694402151186</v>
      </c>
    </row>
    <row r="115" spans="1:24" x14ac:dyDescent="0.2">
      <c r="A115">
        <v>6004</v>
      </c>
      <c r="B115">
        <v>40</v>
      </c>
      <c r="C115" s="4">
        <f t="shared" ref="C115:V115" si="56">+(C74-C34)</f>
        <v>0</v>
      </c>
      <c r="D115" s="4">
        <f t="shared" si="56"/>
        <v>0</v>
      </c>
      <c r="E115" s="4">
        <f t="shared" si="56"/>
        <v>0</v>
      </c>
      <c r="F115" s="4">
        <f t="shared" si="56"/>
        <v>0</v>
      </c>
      <c r="G115" s="4">
        <f t="shared" si="56"/>
        <v>0</v>
      </c>
      <c r="H115" s="4">
        <f t="shared" si="56"/>
        <v>0</v>
      </c>
      <c r="I115" s="4">
        <f t="shared" si="56"/>
        <v>146.91308574220699</v>
      </c>
      <c r="J115" s="4">
        <f t="shared" si="56"/>
        <v>0</v>
      </c>
      <c r="K115" s="4">
        <f t="shared" si="56"/>
        <v>-393.88110397329302</v>
      </c>
      <c r="L115" s="4">
        <f t="shared" si="56"/>
        <v>0</v>
      </c>
      <c r="M115" s="4">
        <f t="shared" si="56"/>
        <v>-1595.22551166379</v>
      </c>
      <c r="N115" s="4">
        <f t="shared" si="56"/>
        <v>6035.4530948247902</v>
      </c>
      <c r="O115" s="4">
        <f t="shared" si="56"/>
        <v>220.19493110056783</v>
      </c>
      <c r="P115" s="4">
        <f t="shared" si="56"/>
        <v>0</v>
      </c>
      <c r="Q115" s="4">
        <f t="shared" si="56"/>
        <v>7.2657492733105755</v>
      </c>
      <c r="R115" s="4">
        <f t="shared" si="56"/>
        <v>0</v>
      </c>
      <c r="S115" s="4">
        <f t="shared" si="56"/>
        <v>-908.483122145979</v>
      </c>
      <c r="T115" s="4">
        <f t="shared" si="56"/>
        <v>520.46215112775599</v>
      </c>
      <c r="U115" s="4">
        <f t="shared" si="56"/>
        <v>0</v>
      </c>
      <c r="V115" s="4">
        <f t="shared" si="56"/>
        <v>-2387.8950912897399</v>
      </c>
      <c r="X115" s="3">
        <f t="shared" si="25"/>
        <v>1.6448041829958306</v>
      </c>
    </row>
    <row r="116" spans="1:24" x14ac:dyDescent="0.2">
      <c r="A116">
        <v>6004</v>
      </c>
      <c r="B116">
        <v>41</v>
      </c>
      <c r="C116" s="4">
        <f t="shared" ref="C116:V116" si="57">+(C75-C35)</f>
        <v>0</v>
      </c>
      <c r="D116" s="4">
        <f t="shared" si="57"/>
        <v>0</v>
      </c>
      <c r="E116" s="4">
        <f t="shared" si="57"/>
        <v>0</v>
      </c>
      <c r="F116" s="4">
        <f t="shared" si="57"/>
        <v>0</v>
      </c>
      <c r="G116" s="4">
        <f t="shared" si="57"/>
        <v>0</v>
      </c>
      <c r="H116" s="4">
        <f t="shared" si="57"/>
        <v>0</v>
      </c>
      <c r="I116" s="4">
        <f t="shared" si="57"/>
        <v>153.2453887977673</v>
      </c>
      <c r="J116" s="4">
        <f t="shared" si="57"/>
        <v>0</v>
      </c>
      <c r="K116" s="4">
        <f t="shared" si="57"/>
        <v>-699.15368119530694</v>
      </c>
      <c r="L116" s="4">
        <f t="shared" si="57"/>
        <v>0</v>
      </c>
      <c r="M116" s="4">
        <f t="shared" si="57"/>
        <v>-1604.0487997345299</v>
      </c>
      <c r="N116" s="4">
        <f t="shared" si="57"/>
        <v>2016.1775729022399</v>
      </c>
      <c r="O116" s="4">
        <f t="shared" si="57"/>
        <v>781.09363242352606</v>
      </c>
      <c r="P116" s="4">
        <f t="shared" si="57"/>
        <v>0</v>
      </c>
      <c r="Q116" s="4">
        <f t="shared" si="57"/>
        <v>0</v>
      </c>
      <c r="R116" s="4">
        <f t="shared" si="57"/>
        <v>0</v>
      </c>
      <c r="S116" s="4">
        <f t="shared" si="57"/>
        <v>-178.53724787083701</v>
      </c>
      <c r="T116" s="4">
        <f t="shared" si="57"/>
        <v>365.75629203468799</v>
      </c>
      <c r="U116" s="4">
        <f t="shared" si="57"/>
        <v>0</v>
      </c>
      <c r="V116" s="4">
        <f t="shared" si="57"/>
        <v>-470.66639240968698</v>
      </c>
      <c r="X116" s="3">
        <f t="shared" si="25"/>
        <v>0.36386676494786035</v>
      </c>
    </row>
    <row r="117" spans="1:24" x14ac:dyDescent="0.2">
      <c r="A117">
        <v>6004</v>
      </c>
      <c r="B117">
        <v>42</v>
      </c>
      <c r="C117" s="4">
        <f t="shared" ref="C117:V117" si="58">+(C76-C36)</f>
        <v>0</v>
      </c>
      <c r="D117" s="4">
        <f t="shared" si="58"/>
        <v>0</v>
      </c>
      <c r="E117" s="4">
        <f t="shared" si="58"/>
        <v>0</v>
      </c>
      <c r="F117" s="4">
        <f t="shared" si="58"/>
        <v>0</v>
      </c>
      <c r="G117" s="4">
        <f t="shared" si="58"/>
        <v>0</v>
      </c>
      <c r="H117" s="4">
        <f t="shared" si="58"/>
        <v>0</v>
      </c>
      <c r="I117" s="4">
        <f t="shared" si="58"/>
        <v>314.38818682068211</v>
      </c>
      <c r="J117" s="4">
        <f t="shared" si="58"/>
        <v>0</v>
      </c>
      <c r="K117" s="4">
        <f t="shared" si="58"/>
        <v>-86.821213699032697</v>
      </c>
      <c r="L117" s="4">
        <f t="shared" si="58"/>
        <v>0</v>
      </c>
      <c r="M117" s="4">
        <f t="shared" si="58"/>
        <v>-2363.3249689939098</v>
      </c>
      <c r="N117" s="4">
        <f t="shared" si="58"/>
        <v>2122.0404883725</v>
      </c>
      <c r="O117" s="4">
        <f t="shared" si="58"/>
        <v>1159.3318834467202</v>
      </c>
      <c r="P117" s="4">
        <f t="shared" si="58"/>
        <v>0</v>
      </c>
      <c r="Q117" s="4">
        <f t="shared" si="58"/>
        <v>0</v>
      </c>
      <c r="R117" s="4">
        <f t="shared" si="58"/>
        <v>0</v>
      </c>
      <c r="S117" s="4">
        <f t="shared" si="58"/>
        <v>-182.53518363574099</v>
      </c>
      <c r="T117" s="4">
        <f t="shared" si="58"/>
        <v>329.33556440714</v>
      </c>
      <c r="U117" s="4">
        <f t="shared" si="58"/>
        <v>0</v>
      </c>
      <c r="V117" s="4">
        <f t="shared" si="58"/>
        <v>-561.46673488250303</v>
      </c>
      <c r="X117" s="3">
        <f t="shared" si="25"/>
        <v>0.73094802183585583</v>
      </c>
    </row>
    <row r="118" spans="1:24" x14ac:dyDescent="0.2">
      <c r="A118">
        <v>6004</v>
      </c>
      <c r="B118">
        <v>43</v>
      </c>
      <c r="C118" s="4">
        <f t="shared" ref="C118:V118" si="59">+(C77-C37)</f>
        <v>0</v>
      </c>
      <c r="D118" s="4">
        <f t="shared" si="59"/>
        <v>0</v>
      </c>
      <c r="E118" s="4">
        <f t="shared" si="59"/>
        <v>0</v>
      </c>
      <c r="F118" s="4">
        <f t="shared" si="59"/>
        <v>0</v>
      </c>
      <c r="G118" s="4">
        <f t="shared" si="59"/>
        <v>0</v>
      </c>
      <c r="H118" s="4">
        <f t="shared" si="59"/>
        <v>0</v>
      </c>
      <c r="I118" s="4">
        <f t="shared" si="59"/>
        <v>269.09232112186288</v>
      </c>
      <c r="J118" s="4">
        <f t="shared" si="59"/>
        <v>0</v>
      </c>
      <c r="K118" s="4">
        <f t="shared" si="59"/>
        <v>-394.07641715534601</v>
      </c>
      <c r="L118" s="4">
        <f t="shared" si="59"/>
        <v>0</v>
      </c>
      <c r="M118" s="4">
        <f t="shared" si="59"/>
        <v>-3268.9289323388398</v>
      </c>
      <c r="N118" s="4">
        <f t="shared" si="59"/>
        <v>1945.2706259326501</v>
      </c>
      <c r="O118" s="4">
        <f t="shared" si="59"/>
        <v>1472.19404848213</v>
      </c>
      <c r="P118" s="4">
        <f t="shared" si="59"/>
        <v>0</v>
      </c>
      <c r="Q118" s="4">
        <f t="shared" si="59"/>
        <v>0</v>
      </c>
      <c r="R118" s="4">
        <f t="shared" si="59"/>
        <v>0</v>
      </c>
      <c r="S118" s="4">
        <f t="shared" si="59"/>
        <v>-186.250376157245</v>
      </c>
      <c r="T118" s="4">
        <f t="shared" si="59"/>
        <v>584.98514386912393</v>
      </c>
      <c r="U118" s="4">
        <f t="shared" si="59"/>
        <v>0</v>
      </c>
      <c r="V118" s="4">
        <f t="shared" si="59"/>
        <v>-592.44566451415199</v>
      </c>
      <c r="X118" s="3">
        <f t="shared" si="25"/>
        <v>-0.17015925075981589</v>
      </c>
    </row>
    <row r="119" spans="1:24" x14ac:dyDescent="0.2">
      <c r="A119">
        <v>6004</v>
      </c>
      <c r="B119">
        <v>44</v>
      </c>
      <c r="C119" s="4">
        <f t="shared" ref="C119:V119" si="60">+(C78-C38)</f>
        <v>0</v>
      </c>
      <c r="D119" s="4">
        <f t="shared" si="60"/>
        <v>0</v>
      </c>
      <c r="E119" s="4">
        <f t="shared" si="60"/>
        <v>0</v>
      </c>
      <c r="F119" s="4">
        <f t="shared" si="60"/>
        <v>0</v>
      </c>
      <c r="G119" s="4">
        <f t="shared" si="60"/>
        <v>0</v>
      </c>
      <c r="H119" s="4">
        <f t="shared" si="60"/>
        <v>0</v>
      </c>
      <c r="I119" s="4">
        <f t="shared" si="60"/>
        <v>-24.545590845254001</v>
      </c>
      <c r="J119" s="4">
        <f t="shared" si="60"/>
        <v>0</v>
      </c>
      <c r="K119" s="4">
        <f t="shared" si="60"/>
        <v>-797.57323017178896</v>
      </c>
      <c r="L119" s="4">
        <f t="shared" si="60"/>
        <v>0</v>
      </c>
      <c r="M119" s="4">
        <f t="shared" si="60"/>
        <v>-1714.3778748309501</v>
      </c>
      <c r="N119" s="4">
        <f t="shared" si="60"/>
        <v>1761.9239711027301</v>
      </c>
      <c r="O119" s="4">
        <f t="shared" si="60"/>
        <v>-92.892388413801598</v>
      </c>
      <c r="P119" s="4">
        <f t="shared" si="60"/>
        <v>0</v>
      </c>
      <c r="Q119" s="4">
        <f t="shared" si="60"/>
        <v>0</v>
      </c>
      <c r="R119" s="4">
        <f t="shared" si="60"/>
        <v>0</v>
      </c>
      <c r="S119" s="4">
        <f t="shared" si="60"/>
        <v>-189.68401616663999</v>
      </c>
      <c r="T119" s="4">
        <f t="shared" si="60"/>
        <v>-358.32194606268303</v>
      </c>
      <c r="U119" s="4">
        <f t="shared" si="60"/>
        <v>0</v>
      </c>
      <c r="V119" s="4">
        <f t="shared" si="60"/>
        <v>-488.41709938206202</v>
      </c>
      <c r="X119" s="3">
        <f t="shared" si="25"/>
        <v>-1.9038881747704499</v>
      </c>
    </row>
    <row r="120" spans="1:24" x14ac:dyDescent="0.2">
      <c r="A120">
        <v>6004</v>
      </c>
      <c r="B120">
        <v>45</v>
      </c>
      <c r="C120" s="4">
        <f t="shared" ref="C120:V120" si="61">+(C79-C39)</f>
        <v>0</v>
      </c>
      <c r="D120" s="4">
        <f t="shared" si="61"/>
        <v>0</v>
      </c>
      <c r="E120" s="4">
        <f t="shared" si="61"/>
        <v>0</v>
      </c>
      <c r="F120" s="4">
        <f t="shared" si="61"/>
        <v>0</v>
      </c>
      <c r="G120" s="4">
        <f t="shared" si="61"/>
        <v>0</v>
      </c>
      <c r="H120" s="4">
        <f t="shared" si="61"/>
        <v>0</v>
      </c>
      <c r="I120" s="4">
        <f t="shared" si="61"/>
        <v>92.069527740904306</v>
      </c>
      <c r="J120" s="4">
        <f t="shared" si="61"/>
        <v>0</v>
      </c>
      <c r="K120" s="4">
        <f t="shared" si="61"/>
        <v>0</v>
      </c>
      <c r="L120" s="4">
        <f t="shared" si="61"/>
        <v>0</v>
      </c>
      <c r="M120" s="4">
        <f t="shared" si="61"/>
        <v>-2660.9920444089798</v>
      </c>
      <c r="N120" s="4">
        <f t="shared" si="61"/>
        <v>25983.098045221199</v>
      </c>
      <c r="O120" s="4">
        <f t="shared" si="61"/>
        <v>3460.5900004022533</v>
      </c>
      <c r="P120" s="4">
        <f t="shared" si="61"/>
        <v>0</v>
      </c>
      <c r="Q120" s="4">
        <f t="shared" si="61"/>
        <v>0</v>
      </c>
      <c r="R120" s="4">
        <f t="shared" si="61"/>
        <v>0</v>
      </c>
      <c r="S120" s="4">
        <f t="shared" si="61"/>
        <v>-192.894424424774</v>
      </c>
      <c r="T120" s="4">
        <f t="shared" si="61"/>
        <v>9565.0213190938266</v>
      </c>
      <c r="U120" s="4">
        <f t="shared" si="61"/>
        <v>0</v>
      </c>
      <c r="V120" s="4">
        <f t="shared" si="61"/>
        <v>-1347.7548609514699</v>
      </c>
      <c r="X120" s="3">
        <f t="shared" si="25"/>
        <v>34.899137562672969</v>
      </c>
    </row>
    <row r="121" spans="1:24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X121" s="2"/>
    </row>
    <row r="122" spans="1:24" x14ac:dyDescent="0.2">
      <c r="C122" s="4">
        <f t="shared" ref="C122" si="62">+SUM(C83:C120)</f>
        <v>0</v>
      </c>
      <c r="D122" s="4">
        <f t="shared" ref="D122" si="63">+SUM(D83:D120)</f>
        <v>0</v>
      </c>
      <c r="E122" s="4">
        <f t="shared" ref="E122" si="64">+SUM(E83:E120)</f>
        <v>0</v>
      </c>
      <c r="F122" s="4">
        <f t="shared" ref="F122" si="65">+SUM(F83:F120)</f>
        <v>0</v>
      </c>
      <c r="G122" s="4">
        <f t="shared" ref="G122" si="66">+SUM(G83:G120)</f>
        <v>0</v>
      </c>
      <c r="H122" s="4">
        <f t="shared" ref="H122" si="67">+SUM(H83:H120)</f>
        <v>0</v>
      </c>
      <c r="I122" s="4">
        <f>+SUM(I83:I120)</f>
        <v>2932.7740092751797</v>
      </c>
      <c r="J122" s="4">
        <f t="shared" ref="J122" si="68">+SUM(J83:J120)</f>
        <v>0</v>
      </c>
      <c r="K122" s="4">
        <f t="shared" ref="K122" si="69">+SUM(K83:K120)</f>
        <v>-14823.522650629455</v>
      </c>
      <c r="L122" s="4">
        <f t="shared" ref="L122" si="70">+SUM(L83:L120)</f>
        <v>0</v>
      </c>
      <c r="M122" s="4">
        <f>+SUM(M83:M120)</f>
        <v>-59792.700645981844</v>
      </c>
      <c r="N122" s="4">
        <f t="shared" ref="N122" si="71">+SUM(N83:N120)</f>
        <v>105464.120458424</v>
      </c>
      <c r="O122" s="4">
        <f t="shared" ref="O122" si="72">+SUM(O83:O120)</f>
        <v>14457.483832083048</v>
      </c>
      <c r="P122" s="4">
        <f t="shared" ref="P122" si="73">+SUM(P83:P120)</f>
        <v>-11702.006287334811</v>
      </c>
      <c r="Q122" s="4">
        <f t="shared" ref="Q122" si="74">+SUM(Q83:Q120)</f>
        <v>6.8611067573910987</v>
      </c>
      <c r="R122" s="4">
        <f t="shared" ref="R122" si="75">+SUM(R83:R120)</f>
        <v>0</v>
      </c>
      <c r="S122" s="4">
        <f t="shared" ref="S122" si="76">+SUM(S83:S120)</f>
        <v>-15234.410398518938</v>
      </c>
      <c r="T122" s="4">
        <f t="shared" ref="T122" si="77">+SUM(T83:T120)</f>
        <v>24203.217559888861</v>
      </c>
      <c r="U122" s="4">
        <f t="shared" ref="U122" si="78">+SUM(U83:U120)</f>
        <v>-311.15301856044636</v>
      </c>
      <c r="V122" s="4">
        <f t="shared" ref="V122" si="79">+SUM(V83:V120)</f>
        <v>21786.970965260996</v>
      </c>
      <c r="W122" s="4"/>
      <c r="X122" s="3">
        <f>+SUM(X83:X120)</f>
        <v>66.987634930664001</v>
      </c>
    </row>
    <row r="126" spans="1:24" x14ac:dyDescent="0.2">
      <c r="A126">
        <v>6005</v>
      </c>
      <c r="B126">
        <v>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9.0939510815845004E-2</v>
      </c>
      <c r="J126">
        <v>0</v>
      </c>
      <c r="K126">
        <v>0</v>
      </c>
      <c r="L126">
        <v>0</v>
      </c>
      <c r="M126">
        <v>2117.8583628678998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51.902558237164698</v>
      </c>
      <c r="V126">
        <v>0</v>
      </c>
    </row>
    <row r="127" spans="1:24" x14ac:dyDescent="0.2">
      <c r="A127">
        <v>6005</v>
      </c>
      <c r="B127">
        <v>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8.4500275738988204E-2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926.70728150982598</v>
      </c>
      <c r="U127">
        <v>40.998840845540997</v>
      </c>
      <c r="V127">
        <v>1130.74590216664</v>
      </c>
    </row>
    <row r="128" spans="1:24" x14ac:dyDescent="0.2">
      <c r="A128">
        <v>6005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0.15827755924377401</v>
      </c>
      <c r="J128">
        <v>0</v>
      </c>
      <c r="K128">
        <v>0</v>
      </c>
      <c r="L128">
        <v>0</v>
      </c>
      <c r="M128">
        <v>2774.0402116535001</v>
      </c>
      <c r="N128">
        <v>0</v>
      </c>
      <c r="O128">
        <v>0</v>
      </c>
      <c r="P128">
        <v>0</v>
      </c>
      <c r="Q128">
        <v>5716.5253550076504</v>
      </c>
      <c r="R128">
        <v>0</v>
      </c>
      <c r="S128">
        <v>0</v>
      </c>
      <c r="T128">
        <v>147.193628546458</v>
      </c>
      <c r="U128">
        <v>28.476362316652899</v>
      </c>
      <c r="V128">
        <v>131.37216683514799</v>
      </c>
    </row>
    <row r="129" spans="1:22" x14ac:dyDescent="0.2">
      <c r="A129">
        <v>6005</v>
      </c>
      <c r="B129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15.5761399242782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748.45726606884705</v>
      </c>
      <c r="P129">
        <v>0</v>
      </c>
      <c r="Q129">
        <v>0</v>
      </c>
      <c r="R129">
        <v>0</v>
      </c>
      <c r="S129">
        <v>0</v>
      </c>
      <c r="T129">
        <v>1687.26163221513</v>
      </c>
      <c r="U129">
        <v>0</v>
      </c>
      <c r="V129">
        <v>2273.2789387203302</v>
      </c>
    </row>
    <row r="130" spans="1:22" x14ac:dyDescent="0.2">
      <c r="A130">
        <v>6005</v>
      </c>
      <c r="B130">
        <v>12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17.512375722593301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1232.3250440256099</v>
      </c>
      <c r="P130">
        <v>0</v>
      </c>
      <c r="Q130">
        <v>0</v>
      </c>
      <c r="R130">
        <v>0</v>
      </c>
      <c r="S130">
        <v>0</v>
      </c>
      <c r="T130">
        <v>1655.5758748999599</v>
      </c>
      <c r="U130">
        <v>0</v>
      </c>
      <c r="V130">
        <v>329.51593266839001</v>
      </c>
    </row>
    <row r="131" spans="1:22" x14ac:dyDescent="0.2">
      <c r="A131">
        <v>6005</v>
      </c>
      <c r="B131">
        <v>13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21.841417907883301</v>
      </c>
      <c r="J131">
        <v>0</v>
      </c>
      <c r="K131">
        <v>0</v>
      </c>
      <c r="L131">
        <v>0</v>
      </c>
      <c r="M131">
        <v>980.69405469131698</v>
      </c>
      <c r="N131">
        <v>0</v>
      </c>
      <c r="O131">
        <v>2374.2356940035502</v>
      </c>
      <c r="P131">
        <v>0</v>
      </c>
      <c r="Q131">
        <v>0</v>
      </c>
      <c r="R131">
        <v>0</v>
      </c>
      <c r="S131">
        <v>0</v>
      </c>
      <c r="T131">
        <v>1582.7139288088899</v>
      </c>
      <c r="U131">
        <v>0</v>
      </c>
      <c r="V131">
        <v>1495.5605008259599</v>
      </c>
    </row>
    <row r="132" spans="1:22" x14ac:dyDescent="0.2">
      <c r="A132">
        <v>6005</v>
      </c>
      <c r="B132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29.873415064548301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835.53893476253995</v>
      </c>
      <c r="P132">
        <v>0</v>
      </c>
      <c r="Q132">
        <v>0</v>
      </c>
      <c r="R132">
        <v>0</v>
      </c>
      <c r="S132">
        <v>0</v>
      </c>
      <c r="T132">
        <v>1605.47016635262</v>
      </c>
      <c r="U132">
        <v>0</v>
      </c>
      <c r="V132">
        <v>898.28893401227003</v>
      </c>
    </row>
    <row r="133" spans="1:22" x14ac:dyDescent="0.2">
      <c r="A133">
        <v>6005</v>
      </c>
      <c r="B133">
        <v>15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33.634040325944</v>
      </c>
      <c r="J133">
        <v>0</v>
      </c>
      <c r="K133">
        <v>0</v>
      </c>
      <c r="L133">
        <v>0</v>
      </c>
      <c r="M133">
        <v>17.675673720959502</v>
      </c>
      <c r="N133">
        <v>0</v>
      </c>
      <c r="O133">
        <v>847.64623208355204</v>
      </c>
      <c r="P133">
        <v>0</v>
      </c>
      <c r="Q133">
        <v>0</v>
      </c>
      <c r="R133">
        <v>0</v>
      </c>
      <c r="S133">
        <v>0</v>
      </c>
      <c r="T133">
        <v>3255.4046564453502</v>
      </c>
      <c r="U133">
        <v>0</v>
      </c>
      <c r="V133">
        <v>0</v>
      </c>
    </row>
    <row r="134" spans="1:22" x14ac:dyDescent="0.2">
      <c r="A134">
        <v>6005</v>
      </c>
      <c r="B134">
        <v>16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37.587430071390997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924.26722145525798</v>
      </c>
      <c r="P134">
        <v>0</v>
      </c>
      <c r="Q134">
        <v>0</v>
      </c>
      <c r="R134">
        <v>0</v>
      </c>
      <c r="S134">
        <v>0</v>
      </c>
      <c r="T134">
        <v>3287.8179217561001</v>
      </c>
      <c r="U134">
        <v>0</v>
      </c>
      <c r="V134">
        <v>2.8036584488387399</v>
      </c>
    </row>
    <row r="135" spans="1:22" x14ac:dyDescent="0.2">
      <c r="A135">
        <v>6005</v>
      </c>
      <c r="B135">
        <v>17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41.795041937759002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884.32229959053905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1945.53307418178</v>
      </c>
    </row>
    <row r="136" spans="1:22" x14ac:dyDescent="0.2">
      <c r="A136">
        <v>6005</v>
      </c>
      <c r="B136">
        <v>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96.968629524669097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903.93416819554102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2107.1867683973701</v>
      </c>
    </row>
    <row r="137" spans="1:22" x14ac:dyDescent="0.2">
      <c r="A137">
        <v>6005</v>
      </c>
      <c r="B137">
        <v>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923.57033806500704</v>
      </c>
      <c r="P137">
        <v>0</v>
      </c>
      <c r="Q137">
        <v>0</v>
      </c>
      <c r="R137">
        <v>0</v>
      </c>
      <c r="S137">
        <v>0</v>
      </c>
      <c r="T137">
        <v>1486.85081339933</v>
      </c>
      <c r="U137">
        <v>0</v>
      </c>
      <c r="V137">
        <v>1274.3804673976599</v>
      </c>
    </row>
    <row r="138" spans="1:22" x14ac:dyDescent="0.2">
      <c r="A138">
        <v>6005</v>
      </c>
      <c r="B138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55.510409121006802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944.10656774116399</v>
      </c>
      <c r="P138">
        <v>0</v>
      </c>
      <c r="Q138">
        <v>0</v>
      </c>
      <c r="R138">
        <v>0</v>
      </c>
      <c r="S138">
        <v>0</v>
      </c>
      <c r="T138">
        <v>1708.6968689252701</v>
      </c>
      <c r="U138">
        <v>0</v>
      </c>
      <c r="V138">
        <v>3227.04511430198</v>
      </c>
    </row>
    <row r="139" spans="1:22" x14ac:dyDescent="0.2">
      <c r="A139">
        <v>6005</v>
      </c>
      <c r="B139">
        <v>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60.260973243066204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963.65177409221405</v>
      </c>
      <c r="P139">
        <v>0</v>
      </c>
      <c r="Q139">
        <v>0</v>
      </c>
      <c r="R139">
        <v>0</v>
      </c>
      <c r="S139">
        <v>0</v>
      </c>
      <c r="T139">
        <v>1573.8321053810701</v>
      </c>
      <c r="U139">
        <v>0</v>
      </c>
      <c r="V139">
        <v>1362.1817415811599</v>
      </c>
    </row>
    <row r="140" spans="1:22" x14ac:dyDescent="0.2">
      <c r="A140">
        <v>6005</v>
      </c>
      <c r="B140">
        <v>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66.070045006364495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986.13410166531605</v>
      </c>
      <c r="P140">
        <v>0</v>
      </c>
      <c r="Q140">
        <v>0</v>
      </c>
      <c r="R140">
        <v>0</v>
      </c>
      <c r="S140">
        <v>0</v>
      </c>
      <c r="T140">
        <v>1665.1566665719999</v>
      </c>
      <c r="U140">
        <v>0</v>
      </c>
      <c r="V140">
        <v>1547.01923458549</v>
      </c>
    </row>
    <row r="141" spans="1:22" x14ac:dyDescent="0.2">
      <c r="A141">
        <v>6005</v>
      </c>
      <c r="B141">
        <v>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62.805433158453198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1010.02394653693</v>
      </c>
      <c r="P141">
        <v>0</v>
      </c>
      <c r="Q141">
        <v>0</v>
      </c>
      <c r="R141">
        <v>0</v>
      </c>
      <c r="S141">
        <v>0</v>
      </c>
      <c r="T141">
        <v>1713.5022550856299</v>
      </c>
      <c r="U141">
        <v>0</v>
      </c>
      <c r="V141">
        <v>2042.8179172638399</v>
      </c>
    </row>
    <row r="142" spans="1:22" x14ac:dyDescent="0.2">
      <c r="A142">
        <v>6005</v>
      </c>
      <c r="B142">
        <v>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66.508977788876095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1032.63875786931</v>
      </c>
      <c r="P142">
        <v>0</v>
      </c>
      <c r="Q142">
        <v>0</v>
      </c>
      <c r="R142">
        <v>0</v>
      </c>
      <c r="S142">
        <v>0</v>
      </c>
      <c r="T142">
        <v>3437.2328761229401</v>
      </c>
      <c r="U142">
        <v>0</v>
      </c>
      <c r="V142">
        <v>1447.2606168299601</v>
      </c>
    </row>
    <row r="143" spans="1:22" x14ac:dyDescent="0.2">
      <c r="A143">
        <v>6005</v>
      </c>
      <c r="B143">
        <v>25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226.49529189176599</v>
      </c>
      <c r="J143">
        <v>0</v>
      </c>
      <c r="K143">
        <v>0</v>
      </c>
      <c r="L143">
        <v>0</v>
      </c>
      <c r="M143">
        <v>7869.9401332973503</v>
      </c>
      <c r="N143">
        <v>0</v>
      </c>
      <c r="O143">
        <v>1053.7152476152701</v>
      </c>
      <c r="P143">
        <v>0</v>
      </c>
      <c r="Q143">
        <v>0</v>
      </c>
      <c r="R143">
        <v>0</v>
      </c>
      <c r="S143">
        <v>0</v>
      </c>
      <c r="T143">
        <v>488.04224544951097</v>
      </c>
      <c r="U143">
        <v>0</v>
      </c>
      <c r="V143">
        <v>8278.6937926114497</v>
      </c>
    </row>
    <row r="144" spans="1:22" x14ac:dyDescent="0.2">
      <c r="A144">
        <v>6005</v>
      </c>
      <c r="B144">
        <v>26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2131.50000021917</v>
      </c>
      <c r="P144">
        <v>0</v>
      </c>
      <c r="Q144">
        <v>0</v>
      </c>
      <c r="R144">
        <v>0</v>
      </c>
      <c r="S144">
        <v>0</v>
      </c>
      <c r="T144">
        <v>1397.62245010267</v>
      </c>
      <c r="U144">
        <v>0</v>
      </c>
      <c r="V144">
        <v>1951.5530018941099</v>
      </c>
    </row>
    <row r="145" spans="1:22" x14ac:dyDescent="0.2">
      <c r="A145">
        <v>6005</v>
      </c>
      <c r="B145">
        <v>27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282.149778130166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1147.1325595517701</v>
      </c>
      <c r="P145">
        <v>0</v>
      </c>
      <c r="Q145">
        <v>0</v>
      </c>
      <c r="R145">
        <v>0</v>
      </c>
      <c r="S145">
        <v>0</v>
      </c>
      <c r="T145">
        <v>2057.9580202525499</v>
      </c>
      <c r="U145">
        <v>0</v>
      </c>
      <c r="V145">
        <v>766.49088918321195</v>
      </c>
    </row>
    <row r="146" spans="1:22" x14ac:dyDescent="0.2">
      <c r="A146">
        <v>6005</v>
      </c>
      <c r="B146">
        <v>28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526.523228556346</v>
      </c>
      <c r="P146">
        <v>0</v>
      </c>
      <c r="Q146">
        <v>89.339223571850496</v>
      </c>
      <c r="R146">
        <v>0</v>
      </c>
      <c r="S146">
        <v>0</v>
      </c>
      <c r="T146">
        <v>2590.46310128089</v>
      </c>
      <c r="U146">
        <v>77.867867261255199</v>
      </c>
      <c r="V146">
        <v>0</v>
      </c>
    </row>
    <row r="147" spans="1:22" x14ac:dyDescent="0.2">
      <c r="A147">
        <v>6005</v>
      </c>
      <c r="B147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102.122211581492</v>
      </c>
      <c r="J147">
        <v>0</v>
      </c>
      <c r="K147">
        <v>3886.6551106276202</v>
      </c>
      <c r="L147">
        <v>0</v>
      </c>
      <c r="M147">
        <v>0</v>
      </c>
      <c r="N147">
        <v>0</v>
      </c>
      <c r="O147">
        <v>3459.0871802349998</v>
      </c>
      <c r="P147">
        <v>0</v>
      </c>
      <c r="Q147">
        <v>0</v>
      </c>
      <c r="R147">
        <v>0</v>
      </c>
      <c r="S147">
        <v>0</v>
      </c>
      <c r="T147">
        <v>1788.7049885097399</v>
      </c>
      <c r="U147">
        <v>489.59425843771498</v>
      </c>
      <c r="V147">
        <v>1130.4844973643401</v>
      </c>
    </row>
    <row r="148" spans="1:22" x14ac:dyDescent="0.2">
      <c r="A148">
        <v>6005</v>
      </c>
      <c r="B148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106.287962516105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2641.3182567091299</v>
      </c>
      <c r="P148">
        <v>0</v>
      </c>
      <c r="Q148">
        <v>2127.2174309634102</v>
      </c>
      <c r="R148">
        <v>0</v>
      </c>
      <c r="S148">
        <v>0</v>
      </c>
      <c r="T148">
        <v>3041.3166539876102</v>
      </c>
      <c r="U148">
        <v>341.907200457469</v>
      </c>
      <c r="V148">
        <v>3188.2952711929402</v>
      </c>
    </row>
    <row r="149" spans="1:22" x14ac:dyDescent="0.2">
      <c r="A149">
        <v>6005</v>
      </c>
      <c r="B149">
        <v>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125.259596822511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1465.9376943118</v>
      </c>
      <c r="P149">
        <v>0</v>
      </c>
      <c r="Q149">
        <v>693.44706465355102</v>
      </c>
      <c r="R149">
        <v>0</v>
      </c>
      <c r="S149">
        <v>0</v>
      </c>
      <c r="T149">
        <v>2157.5686698161899</v>
      </c>
      <c r="U149">
        <v>299.04342064917302</v>
      </c>
      <c r="V149">
        <v>1798.4353015357799</v>
      </c>
    </row>
    <row r="150" spans="1:22" x14ac:dyDescent="0.2">
      <c r="A150">
        <v>6005</v>
      </c>
      <c r="B150">
        <v>32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165.77323406629699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1358.63049184494</v>
      </c>
      <c r="P150">
        <v>0</v>
      </c>
      <c r="Q150">
        <v>178.32022261824099</v>
      </c>
      <c r="R150">
        <v>0</v>
      </c>
      <c r="S150">
        <v>0</v>
      </c>
      <c r="T150">
        <v>3331.7678725985602</v>
      </c>
      <c r="U150">
        <v>0</v>
      </c>
      <c r="V150">
        <v>573.72898725473601</v>
      </c>
    </row>
    <row r="151" spans="1:22" x14ac:dyDescent="0.2">
      <c r="A151">
        <v>6005</v>
      </c>
      <c r="B151">
        <v>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243.09808962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1584.24130759031</v>
      </c>
      <c r="P151">
        <v>0</v>
      </c>
      <c r="Q151">
        <v>0</v>
      </c>
      <c r="R151">
        <v>0</v>
      </c>
      <c r="S151">
        <v>0</v>
      </c>
      <c r="T151">
        <v>2573.99731332685</v>
      </c>
      <c r="U151">
        <v>0</v>
      </c>
      <c r="V151">
        <v>3450.9554044789302</v>
      </c>
    </row>
    <row r="152" spans="1:22" x14ac:dyDescent="0.2">
      <c r="A152">
        <v>6005</v>
      </c>
      <c r="B152">
        <v>34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161.29144285560801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2222.82086731562</v>
      </c>
      <c r="P152">
        <v>0</v>
      </c>
      <c r="Q152">
        <v>0</v>
      </c>
      <c r="R152">
        <v>0</v>
      </c>
      <c r="S152">
        <v>0</v>
      </c>
      <c r="T152">
        <v>2873.7315460264799</v>
      </c>
      <c r="U152">
        <v>0</v>
      </c>
      <c r="V152">
        <v>2344.55795710442</v>
      </c>
    </row>
    <row r="153" spans="1:22" x14ac:dyDescent="0.2">
      <c r="A153">
        <v>6005</v>
      </c>
      <c r="B153">
        <v>35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53.126913257520201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2150.10663818899</v>
      </c>
      <c r="P153">
        <v>0</v>
      </c>
      <c r="Q153">
        <v>23.623619558457602</v>
      </c>
      <c r="R153">
        <v>0</v>
      </c>
      <c r="S153">
        <v>0</v>
      </c>
      <c r="T153">
        <v>2299.2809670268998</v>
      </c>
      <c r="U153">
        <v>0</v>
      </c>
      <c r="V153">
        <v>1718.6111356517199</v>
      </c>
    </row>
    <row r="154" spans="1:22" x14ac:dyDescent="0.2">
      <c r="A154">
        <v>6005</v>
      </c>
      <c r="B154">
        <v>36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165.63540581905499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1946.7411834957099</v>
      </c>
      <c r="P154">
        <v>0</v>
      </c>
      <c r="Q154">
        <v>174.238142970853</v>
      </c>
      <c r="R154">
        <v>0</v>
      </c>
      <c r="S154">
        <v>0</v>
      </c>
      <c r="T154">
        <v>2385.3886005796498</v>
      </c>
      <c r="U154">
        <v>0</v>
      </c>
      <c r="V154">
        <v>2054.5531702450899</v>
      </c>
    </row>
    <row r="155" spans="1:22" x14ac:dyDescent="0.2">
      <c r="A155">
        <v>6005</v>
      </c>
      <c r="B155">
        <v>37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304.97492461385099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1446.0317915947701</v>
      </c>
      <c r="P155">
        <v>0</v>
      </c>
      <c r="Q155">
        <v>535.87567887191403</v>
      </c>
      <c r="R155">
        <v>0</v>
      </c>
      <c r="S155">
        <v>0</v>
      </c>
      <c r="T155">
        <v>4154.7842435113198</v>
      </c>
      <c r="U155">
        <v>0</v>
      </c>
      <c r="V155">
        <v>5428.6251509581198</v>
      </c>
    </row>
    <row r="156" spans="1:22" x14ac:dyDescent="0.2">
      <c r="A156">
        <v>6005</v>
      </c>
      <c r="B156">
        <v>38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239.66955832498101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1403.7200225177201</v>
      </c>
      <c r="P156">
        <v>0</v>
      </c>
      <c r="Q156">
        <v>0</v>
      </c>
      <c r="R156">
        <v>0</v>
      </c>
      <c r="S156">
        <v>0</v>
      </c>
      <c r="T156">
        <v>3521.27266075841</v>
      </c>
      <c r="U156">
        <v>0</v>
      </c>
      <c r="V156">
        <v>11181.663388192899</v>
      </c>
    </row>
    <row r="157" spans="1:22" x14ac:dyDescent="0.2">
      <c r="A157">
        <v>6005</v>
      </c>
      <c r="B157">
        <v>39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146.078591910433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1346.9777650359399</v>
      </c>
      <c r="P157">
        <v>0</v>
      </c>
      <c r="Q157">
        <v>0</v>
      </c>
      <c r="R157">
        <v>0</v>
      </c>
      <c r="S157">
        <v>0</v>
      </c>
      <c r="T157">
        <v>4776.1629352500704</v>
      </c>
      <c r="U157">
        <v>0</v>
      </c>
      <c r="V157">
        <v>0</v>
      </c>
    </row>
    <row r="158" spans="1:22" x14ac:dyDescent="0.2">
      <c r="A158">
        <v>6005</v>
      </c>
      <c r="B158">
        <v>40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204.70384074818099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1293.4698857077201</v>
      </c>
      <c r="P158">
        <v>0</v>
      </c>
      <c r="Q158">
        <v>5716.5253550076504</v>
      </c>
      <c r="R158">
        <v>0</v>
      </c>
      <c r="S158">
        <v>0</v>
      </c>
      <c r="T158">
        <v>4308.3995562721602</v>
      </c>
      <c r="U158">
        <v>0</v>
      </c>
      <c r="V158">
        <v>1820.60106819312</v>
      </c>
    </row>
    <row r="159" spans="1:22" x14ac:dyDescent="0.2">
      <c r="A159">
        <v>6005</v>
      </c>
      <c r="B159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212.549811841696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1874.8513979112299</v>
      </c>
      <c r="P159">
        <v>0</v>
      </c>
      <c r="Q159">
        <v>0</v>
      </c>
      <c r="R159">
        <v>0</v>
      </c>
      <c r="S159">
        <v>0</v>
      </c>
      <c r="T159">
        <v>5092.0308121796297</v>
      </c>
      <c r="U159">
        <v>0</v>
      </c>
      <c r="V159">
        <v>0</v>
      </c>
    </row>
    <row r="160" spans="1:22" x14ac:dyDescent="0.2">
      <c r="A160">
        <v>6005</v>
      </c>
      <c r="B160">
        <v>42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221.59982307403499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2242.1062203060201</v>
      </c>
      <c r="P160">
        <v>0</v>
      </c>
      <c r="Q160">
        <v>0</v>
      </c>
      <c r="R160">
        <v>0</v>
      </c>
      <c r="S160">
        <v>0</v>
      </c>
      <c r="T160">
        <v>5021.6066173315103</v>
      </c>
      <c r="U160">
        <v>0</v>
      </c>
      <c r="V160">
        <v>148.45875979747899</v>
      </c>
    </row>
    <row r="161" spans="1:24" x14ac:dyDescent="0.2">
      <c r="A161">
        <v>6005</v>
      </c>
      <c r="B161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221.59386663792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3193.9825888496698</v>
      </c>
      <c r="P161">
        <v>0</v>
      </c>
      <c r="Q161">
        <v>0</v>
      </c>
      <c r="R161">
        <v>0</v>
      </c>
      <c r="S161">
        <v>0</v>
      </c>
      <c r="T161">
        <v>4914.1757393565404</v>
      </c>
      <c r="U161">
        <v>0</v>
      </c>
      <c r="V161">
        <v>602.084999086739</v>
      </c>
    </row>
    <row r="162" spans="1:24" x14ac:dyDescent="0.2">
      <c r="A162">
        <v>6005</v>
      </c>
      <c r="B162">
        <v>44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228.75468254579499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1818.24996205859</v>
      </c>
      <c r="P162">
        <v>0</v>
      </c>
      <c r="Q162">
        <v>0</v>
      </c>
      <c r="R162">
        <v>0</v>
      </c>
      <c r="S162">
        <v>0</v>
      </c>
      <c r="T162">
        <v>4913.4540929514296</v>
      </c>
      <c r="U162">
        <v>0</v>
      </c>
      <c r="V162">
        <v>0</v>
      </c>
    </row>
    <row r="163" spans="1:24" x14ac:dyDescent="0.2">
      <c r="A163">
        <v>6005</v>
      </c>
      <c r="B163">
        <v>45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5695.37850684368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7" spans="1:24" x14ac:dyDescent="0.2">
      <c r="A167">
        <v>6004</v>
      </c>
      <c r="B167">
        <v>8</v>
      </c>
      <c r="C167" s="4">
        <f>+(C126-C86)</f>
        <v>0</v>
      </c>
      <c r="D167" s="4">
        <f t="shared" ref="D167:V167" si="80">+(D126-D86)</f>
        <v>0</v>
      </c>
      <c r="E167" s="4">
        <f t="shared" si="80"/>
        <v>0</v>
      </c>
      <c r="F167" s="4">
        <f t="shared" si="80"/>
        <v>0</v>
      </c>
      <c r="G167" s="4">
        <f t="shared" si="80"/>
        <v>0</v>
      </c>
      <c r="H167" s="4">
        <f t="shared" si="80"/>
        <v>0</v>
      </c>
      <c r="I167" s="4">
        <f>+(I126-I2)</f>
        <v>3.5615053575628906E-2</v>
      </c>
      <c r="J167" s="4">
        <f t="shared" ref="J167:V167" si="81">+(J126-J2)</f>
        <v>0</v>
      </c>
      <c r="K167" s="4">
        <f t="shared" si="81"/>
        <v>0</v>
      </c>
      <c r="L167" s="4">
        <f t="shared" si="81"/>
        <v>0</v>
      </c>
      <c r="M167" s="4">
        <f t="shared" si="81"/>
        <v>149.72288956131979</v>
      </c>
      <c r="N167" s="4">
        <f t="shared" si="81"/>
        <v>0</v>
      </c>
      <c r="O167" s="4">
        <f t="shared" si="81"/>
        <v>0</v>
      </c>
      <c r="P167" s="4">
        <f t="shared" si="81"/>
        <v>0</v>
      </c>
      <c r="Q167" s="4">
        <f t="shared" si="81"/>
        <v>0</v>
      </c>
      <c r="R167" s="4">
        <f t="shared" si="81"/>
        <v>0</v>
      </c>
      <c r="S167" s="4">
        <f t="shared" si="81"/>
        <v>0</v>
      </c>
      <c r="T167" s="4">
        <f t="shared" si="81"/>
        <v>0</v>
      </c>
      <c r="U167" s="4">
        <f t="shared" si="81"/>
        <v>0.53226954274190064</v>
      </c>
      <c r="V167" s="4">
        <f t="shared" si="81"/>
        <v>0</v>
      </c>
      <c r="X167" s="3">
        <f>+(SUM(C167:V167)*1000000)/1000000000</f>
        <v>0.15029077415763734</v>
      </c>
    </row>
    <row r="168" spans="1:24" x14ac:dyDescent="0.2">
      <c r="A168">
        <v>6004</v>
      </c>
      <c r="B168">
        <v>9</v>
      </c>
      <c r="C168" s="4">
        <f t="shared" ref="C168:V168" si="82">+(C127-C87)</f>
        <v>0</v>
      </c>
      <c r="D168" s="4">
        <f t="shared" si="82"/>
        <v>0</v>
      </c>
      <c r="E168" s="4">
        <f t="shared" si="82"/>
        <v>0</v>
      </c>
      <c r="F168" s="4">
        <f t="shared" si="82"/>
        <v>0</v>
      </c>
      <c r="G168" s="4">
        <f t="shared" si="82"/>
        <v>0</v>
      </c>
      <c r="H168" s="4">
        <f t="shared" si="82"/>
        <v>0</v>
      </c>
      <c r="I168" s="4">
        <f t="shared" ref="I168:V168" si="83">+(I127-I3)</f>
        <v>3.63736632957199E-2</v>
      </c>
      <c r="J168" s="4">
        <f t="shared" si="83"/>
        <v>0</v>
      </c>
      <c r="K168" s="4">
        <f t="shared" si="83"/>
        <v>0</v>
      </c>
      <c r="L168" s="4">
        <f t="shared" si="83"/>
        <v>0</v>
      </c>
      <c r="M168" s="4">
        <f t="shared" si="83"/>
        <v>0</v>
      </c>
      <c r="N168" s="4">
        <f t="shared" si="83"/>
        <v>0</v>
      </c>
      <c r="O168" s="4">
        <f t="shared" si="83"/>
        <v>0</v>
      </c>
      <c r="P168" s="4">
        <f t="shared" si="83"/>
        <v>0</v>
      </c>
      <c r="Q168" s="4">
        <f t="shared" si="83"/>
        <v>0</v>
      </c>
      <c r="R168" s="4">
        <f t="shared" si="83"/>
        <v>0</v>
      </c>
      <c r="S168" s="4">
        <f t="shared" si="83"/>
        <v>0</v>
      </c>
      <c r="T168" s="4">
        <f t="shared" si="83"/>
        <v>89.187697960173978</v>
      </c>
      <c r="U168" s="4">
        <f t="shared" si="83"/>
        <v>0.54416140377259836</v>
      </c>
      <c r="V168" s="4">
        <f t="shared" si="83"/>
        <v>48.792001736090015</v>
      </c>
      <c r="X168" s="3">
        <f t="shared" ref="X168:X204" si="84">+(SUM(C168:V168)*1000000)/1000000000</f>
        <v>0.13856023476333232</v>
      </c>
    </row>
    <row r="169" spans="1:24" x14ac:dyDescent="0.2">
      <c r="A169">
        <v>6004</v>
      </c>
      <c r="B169">
        <v>10</v>
      </c>
      <c r="C169" s="4">
        <f t="shared" ref="C169:V169" si="85">+(C128-C88)</f>
        <v>0</v>
      </c>
      <c r="D169" s="4">
        <f t="shared" si="85"/>
        <v>0</v>
      </c>
      <c r="E169" s="4">
        <f t="shared" si="85"/>
        <v>0</v>
      </c>
      <c r="F169" s="4">
        <f t="shared" si="85"/>
        <v>0</v>
      </c>
      <c r="G169" s="4">
        <f t="shared" si="85"/>
        <v>0</v>
      </c>
      <c r="H169" s="4">
        <f t="shared" si="85"/>
        <v>0</v>
      </c>
      <c r="I169" s="4">
        <f t="shared" ref="I169:V169" si="86">+(I128-I4)</f>
        <v>0.11756297549191691</v>
      </c>
      <c r="J169" s="4">
        <f t="shared" si="86"/>
        <v>0</v>
      </c>
      <c r="K169" s="4">
        <f t="shared" si="86"/>
        <v>0</v>
      </c>
      <c r="L169" s="4">
        <f t="shared" si="86"/>
        <v>0</v>
      </c>
      <c r="M169" s="4">
        <f t="shared" si="86"/>
        <v>263.34390348825036</v>
      </c>
      <c r="N169" s="4">
        <f t="shared" si="86"/>
        <v>0</v>
      </c>
      <c r="O169" s="4">
        <f t="shared" si="86"/>
        <v>0</v>
      </c>
      <c r="P169" s="4">
        <f t="shared" si="86"/>
        <v>0</v>
      </c>
      <c r="Q169" s="4">
        <f t="shared" si="86"/>
        <v>121.21665729640063</v>
      </c>
      <c r="R169" s="4">
        <f t="shared" si="86"/>
        <v>0</v>
      </c>
      <c r="S169" s="4">
        <f t="shared" si="86"/>
        <v>0</v>
      </c>
      <c r="T169" s="4">
        <f t="shared" si="86"/>
        <v>78.211102266154001</v>
      </c>
      <c r="U169" s="4">
        <f t="shared" si="86"/>
        <v>0.55214437892709967</v>
      </c>
      <c r="V169" s="4">
        <f t="shared" si="86"/>
        <v>24.196890860617998</v>
      </c>
      <c r="X169" s="3">
        <f t="shared" si="84"/>
        <v>0.48763826126584203</v>
      </c>
    </row>
    <row r="170" spans="1:24" x14ac:dyDescent="0.2">
      <c r="A170">
        <v>6004</v>
      </c>
      <c r="B170">
        <v>11</v>
      </c>
      <c r="C170" s="4">
        <f t="shared" ref="C170:V170" si="87">+(C129-C89)</f>
        <v>0</v>
      </c>
      <c r="D170" s="4">
        <f t="shared" si="87"/>
        <v>0</v>
      </c>
      <c r="E170" s="4">
        <f t="shared" si="87"/>
        <v>0</v>
      </c>
      <c r="F170" s="4">
        <f t="shared" si="87"/>
        <v>0</v>
      </c>
      <c r="G170" s="4">
        <f t="shared" si="87"/>
        <v>0</v>
      </c>
      <c r="H170" s="4">
        <f t="shared" si="87"/>
        <v>0</v>
      </c>
      <c r="I170" s="4">
        <f t="shared" ref="I170:V170" si="88">+(I129-I5)</f>
        <v>11.897637053866919</v>
      </c>
      <c r="J170" s="4">
        <f t="shared" si="88"/>
        <v>0</v>
      </c>
      <c r="K170" s="4">
        <f t="shared" si="88"/>
        <v>0</v>
      </c>
      <c r="L170" s="4">
        <f t="shared" si="88"/>
        <v>0</v>
      </c>
      <c r="M170" s="4">
        <f t="shared" si="88"/>
        <v>-236.28687422427799</v>
      </c>
      <c r="N170" s="4">
        <f t="shared" si="88"/>
        <v>0</v>
      </c>
      <c r="O170" s="4">
        <f t="shared" si="88"/>
        <v>392.46122015756703</v>
      </c>
      <c r="P170" s="4">
        <f t="shared" si="88"/>
        <v>0</v>
      </c>
      <c r="Q170" s="4">
        <f t="shared" si="88"/>
        <v>0</v>
      </c>
      <c r="R170" s="4">
        <f t="shared" si="88"/>
        <v>0</v>
      </c>
      <c r="S170" s="4">
        <f t="shared" si="88"/>
        <v>0</v>
      </c>
      <c r="T170" s="4">
        <f t="shared" si="88"/>
        <v>1654.814626899685</v>
      </c>
      <c r="U170" s="4">
        <f t="shared" si="88"/>
        <v>0</v>
      </c>
      <c r="V170" s="4">
        <f t="shared" si="88"/>
        <v>1337.952879674679</v>
      </c>
      <c r="X170" s="3">
        <f t="shared" si="84"/>
        <v>3.1608394895615199</v>
      </c>
    </row>
    <row r="171" spans="1:24" x14ac:dyDescent="0.2">
      <c r="A171">
        <v>6004</v>
      </c>
      <c r="B171">
        <v>12</v>
      </c>
      <c r="C171" s="4">
        <f t="shared" ref="C171:V171" si="89">+(C130-C90)</f>
        <v>0</v>
      </c>
      <c r="D171" s="4">
        <f t="shared" si="89"/>
        <v>0</v>
      </c>
      <c r="E171" s="4">
        <f t="shared" si="89"/>
        <v>0</v>
      </c>
      <c r="F171" s="4">
        <f t="shared" si="89"/>
        <v>0</v>
      </c>
      <c r="G171" s="4">
        <f t="shared" si="89"/>
        <v>0</v>
      </c>
      <c r="H171" s="4">
        <f t="shared" si="89"/>
        <v>0</v>
      </c>
      <c r="I171" s="4">
        <f t="shared" ref="I171:V171" si="90">+(I130-I6)</f>
        <v>13.725090986390461</v>
      </c>
      <c r="J171" s="4">
        <f t="shared" si="90"/>
        <v>0</v>
      </c>
      <c r="K171" s="4">
        <f t="shared" si="90"/>
        <v>0</v>
      </c>
      <c r="L171" s="4">
        <f t="shared" si="90"/>
        <v>0</v>
      </c>
      <c r="M171" s="4">
        <f t="shared" si="90"/>
        <v>-869.02778645681497</v>
      </c>
      <c r="N171" s="4">
        <f t="shared" si="90"/>
        <v>0</v>
      </c>
      <c r="O171" s="4">
        <f t="shared" si="90"/>
        <v>1232.3250440256099</v>
      </c>
      <c r="P171" s="4">
        <f t="shared" si="90"/>
        <v>0</v>
      </c>
      <c r="Q171" s="4">
        <f t="shared" si="90"/>
        <v>0</v>
      </c>
      <c r="R171" s="4">
        <f t="shared" si="90"/>
        <v>0</v>
      </c>
      <c r="S171" s="4">
        <f t="shared" si="90"/>
        <v>0</v>
      </c>
      <c r="T171" s="4">
        <f t="shared" si="90"/>
        <v>1655.5758748999599</v>
      </c>
      <c r="U171" s="4">
        <f t="shared" si="90"/>
        <v>0</v>
      </c>
      <c r="V171" s="4">
        <f t="shared" si="90"/>
        <v>329.51593266839001</v>
      </c>
      <c r="X171" s="3">
        <f t="shared" si="84"/>
        <v>2.3621141561235355</v>
      </c>
    </row>
    <row r="172" spans="1:24" x14ac:dyDescent="0.2">
      <c r="A172">
        <v>6004</v>
      </c>
      <c r="B172">
        <v>13</v>
      </c>
      <c r="C172" s="4">
        <f t="shared" ref="C172:V172" si="91">+(C131-C91)</f>
        <v>0</v>
      </c>
      <c r="D172" s="4">
        <f t="shared" si="91"/>
        <v>0</v>
      </c>
      <c r="E172" s="4">
        <f t="shared" si="91"/>
        <v>0</v>
      </c>
      <c r="F172" s="4">
        <f t="shared" si="91"/>
        <v>0</v>
      </c>
      <c r="G172" s="4">
        <f t="shared" si="91"/>
        <v>0</v>
      </c>
      <c r="H172" s="4">
        <f t="shared" si="91"/>
        <v>0</v>
      </c>
      <c r="I172" s="4">
        <f t="shared" ref="I172:V172" si="92">+(I131-I7)</f>
        <v>17.946671755186031</v>
      </c>
      <c r="J172" s="4">
        <f t="shared" si="92"/>
        <v>0</v>
      </c>
      <c r="K172" s="4">
        <f t="shared" si="92"/>
        <v>0</v>
      </c>
      <c r="L172" s="4">
        <f t="shared" si="92"/>
        <v>0</v>
      </c>
      <c r="M172" s="4">
        <f t="shared" si="92"/>
        <v>-921.912968046983</v>
      </c>
      <c r="N172" s="4">
        <f t="shared" si="92"/>
        <v>0</v>
      </c>
      <c r="O172" s="4">
        <f t="shared" si="92"/>
        <v>796.25961584223023</v>
      </c>
      <c r="P172" s="4">
        <f t="shared" si="92"/>
        <v>0</v>
      </c>
      <c r="Q172" s="4">
        <f t="shared" si="92"/>
        <v>0</v>
      </c>
      <c r="R172" s="4">
        <f t="shared" si="92"/>
        <v>0</v>
      </c>
      <c r="S172" s="4">
        <f t="shared" si="92"/>
        <v>0</v>
      </c>
      <c r="T172" s="4">
        <f t="shared" si="92"/>
        <v>1560.7888924125327</v>
      </c>
      <c r="U172" s="4">
        <f t="shared" si="92"/>
        <v>0</v>
      </c>
      <c r="V172" s="4">
        <f t="shared" si="92"/>
        <v>830.15828245019691</v>
      </c>
      <c r="X172" s="3">
        <f t="shared" si="84"/>
        <v>2.283240494413163</v>
      </c>
    </row>
    <row r="173" spans="1:24" x14ac:dyDescent="0.2">
      <c r="A173">
        <v>6004</v>
      </c>
      <c r="B173">
        <v>14</v>
      </c>
      <c r="C173" s="4">
        <f t="shared" ref="C173:V173" si="93">+(C132-C92)</f>
        <v>0</v>
      </c>
      <c r="D173" s="4">
        <f t="shared" si="93"/>
        <v>0</v>
      </c>
      <c r="E173" s="4">
        <f t="shared" si="93"/>
        <v>0</v>
      </c>
      <c r="F173" s="4">
        <f t="shared" si="93"/>
        <v>0</v>
      </c>
      <c r="G173" s="4">
        <f t="shared" si="93"/>
        <v>0</v>
      </c>
      <c r="H173" s="4">
        <f t="shared" si="93"/>
        <v>0</v>
      </c>
      <c r="I173" s="4">
        <f t="shared" ref="I173:V173" si="94">+(I132-I8)</f>
        <v>25.837601698930801</v>
      </c>
      <c r="J173" s="4">
        <f t="shared" si="94"/>
        <v>0</v>
      </c>
      <c r="K173" s="4">
        <f t="shared" si="94"/>
        <v>0</v>
      </c>
      <c r="L173" s="4">
        <f t="shared" si="94"/>
        <v>0</v>
      </c>
      <c r="M173" s="4">
        <f t="shared" si="94"/>
        <v>-1356.44798884186</v>
      </c>
      <c r="N173" s="4">
        <f t="shared" si="94"/>
        <v>0</v>
      </c>
      <c r="O173" s="4">
        <f t="shared" si="94"/>
        <v>812.4146600046837</v>
      </c>
      <c r="P173" s="4">
        <f t="shared" si="94"/>
        <v>0</v>
      </c>
      <c r="Q173" s="4">
        <f t="shared" si="94"/>
        <v>0</v>
      </c>
      <c r="R173" s="4">
        <f t="shared" si="94"/>
        <v>0</v>
      </c>
      <c r="S173" s="4">
        <f t="shared" si="94"/>
        <v>0</v>
      </c>
      <c r="T173" s="4">
        <f t="shared" si="94"/>
        <v>1513.3770723181719</v>
      </c>
      <c r="U173" s="4">
        <f t="shared" si="94"/>
        <v>0</v>
      </c>
      <c r="V173" s="4">
        <f t="shared" si="94"/>
        <v>854.55148651092816</v>
      </c>
      <c r="X173" s="3">
        <f t="shared" si="84"/>
        <v>1.8497328316908546</v>
      </c>
    </row>
    <row r="174" spans="1:24" x14ac:dyDescent="0.2">
      <c r="A174">
        <v>6004</v>
      </c>
      <c r="B174">
        <v>15</v>
      </c>
      <c r="C174" s="4">
        <f t="shared" ref="C174:V174" si="95">+(C133-C93)</f>
        <v>0</v>
      </c>
      <c r="D174" s="4">
        <f t="shared" si="95"/>
        <v>0</v>
      </c>
      <c r="E174" s="4">
        <f t="shared" si="95"/>
        <v>0</v>
      </c>
      <c r="F174" s="4">
        <f t="shared" si="95"/>
        <v>0</v>
      </c>
      <c r="G174" s="4">
        <f t="shared" si="95"/>
        <v>0</v>
      </c>
      <c r="H174" s="4">
        <f t="shared" si="95"/>
        <v>0</v>
      </c>
      <c r="I174" s="4">
        <f t="shared" ref="I174:V174" si="96">+(I133-I9)</f>
        <v>29.423427376184819</v>
      </c>
      <c r="J174" s="4">
        <f t="shared" si="96"/>
        <v>0</v>
      </c>
      <c r="K174" s="4">
        <f t="shared" si="96"/>
        <v>0</v>
      </c>
      <c r="L174" s="4">
        <f t="shared" si="96"/>
        <v>0</v>
      </c>
      <c r="M174" s="4">
        <f t="shared" si="96"/>
        <v>-368.96327446802451</v>
      </c>
      <c r="N174" s="4">
        <f t="shared" si="96"/>
        <v>0</v>
      </c>
      <c r="O174" s="4">
        <f t="shared" si="96"/>
        <v>822.6574830853607</v>
      </c>
      <c r="P174" s="4">
        <f t="shared" si="96"/>
        <v>0</v>
      </c>
      <c r="Q174" s="4">
        <f t="shared" si="96"/>
        <v>0</v>
      </c>
      <c r="R174" s="4">
        <f t="shared" si="96"/>
        <v>0</v>
      </c>
      <c r="S174" s="4">
        <f t="shared" si="96"/>
        <v>0</v>
      </c>
      <c r="T174" s="4">
        <f t="shared" si="96"/>
        <v>2938.1961876050132</v>
      </c>
      <c r="U174" s="4">
        <f t="shared" si="96"/>
        <v>0</v>
      </c>
      <c r="V174" s="4">
        <f t="shared" si="96"/>
        <v>0</v>
      </c>
      <c r="X174" s="3">
        <f t="shared" si="84"/>
        <v>3.4213138235985343</v>
      </c>
    </row>
    <row r="175" spans="1:24" x14ac:dyDescent="0.2">
      <c r="A175">
        <v>6004</v>
      </c>
      <c r="B175">
        <v>16</v>
      </c>
      <c r="C175" s="4">
        <f t="shared" ref="C175:V175" si="97">+(C134-C94)</f>
        <v>0</v>
      </c>
      <c r="D175" s="4">
        <f t="shared" si="97"/>
        <v>0</v>
      </c>
      <c r="E175" s="4">
        <f t="shared" si="97"/>
        <v>0</v>
      </c>
      <c r="F175" s="4">
        <f t="shared" si="97"/>
        <v>0</v>
      </c>
      <c r="G175" s="4">
        <f t="shared" si="97"/>
        <v>0</v>
      </c>
      <c r="H175" s="4">
        <f t="shared" si="97"/>
        <v>0</v>
      </c>
      <c r="I175" s="4">
        <f t="shared" ref="I175:V175" si="98">+(I134-I10)</f>
        <v>33.17341993827057</v>
      </c>
      <c r="J175" s="4">
        <f t="shared" si="98"/>
        <v>0</v>
      </c>
      <c r="K175" s="4">
        <f t="shared" si="98"/>
        <v>0</v>
      </c>
      <c r="L175" s="4">
        <f t="shared" si="98"/>
        <v>0</v>
      </c>
      <c r="M175" s="4">
        <f t="shared" si="98"/>
        <v>-409.64678969223797</v>
      </c>
      <c r="N175" s="4">
        <f t="shared" si="98"/>
        <v>0</v>
      </c>
      <c r="O175" s="4">
        <f t="shared" si="98"/>
        <v>838.29050906603777</v>
      </c>
      <c r="P175" s="4">
        <f t="shared" si="98"/>
        <v>0</v>
      </c>
      <c r="Q175" s="4">
        <f t="shared" si="98"/>
        <v>0</v>
      </c>
      <c r="R175" s="4">
        <f t="shared" si="98"/>
        <v>0</v>
      </c>
      <c r="S175" s="4">
        <f t="shared" si="98"/>
        <v>0</v>
      </c>
      <c r="T175" s="4">
        <f t="shared" si="98"/>
        <v>2953.8742776905842</v>
      </c>
      <c r="U175" s="4">
        <f t="shared" si="98"/>
        <v>0</v>
      </c>
      <c r="V175" s="4">
        <f t="shared" si="98"/>
        <v>2.8036584488387399</v>
      </c>
      <c r="X175" s="3">
        <f t="shared" si="84"/>
        <v>3.4184950754514931</v>
      </c>
    </row>
    <row r="176" spans="1:24" x14ac:dyDescent="0.2">
      <c r="A176">
        <v>6004</v>
      </c>
      <c r="B176">
        <v>17</v>
      </c>
      <c r="C176" s="4">
        <f t="shared" ref="C176:V176" si="99">+(C135-C95)</f>
        <v>0</v>
      </c>
      <c r="D176" s="4">
        <f t="shared" si="99"/>
        <v>0</v>
      </c>
      <c r="E176" s="4">
        <f t="shared" si="99"/>
        <v>0</v>
      </c>
      <c r="F176" s="4">
        <f t="shared" si="99"/>
        <v>0</v>
      </c>
      <c r="G176" s="4">
        <f t="shared" si="99"/>
        <v>0</v>
      </c>
      <c r="H176" s="4">
        <f t="shared" si="99"/>
        <v>0</v>
      </c>
      <c r="I176" s="4">
        <f t="shared" ref="I176:V176" si="100">+(I135-I11)</f>
        <v>37.130946408945078</v>
      </c>
      <c r="J176" s="4">
        <f t="shared" si="100"/>
        <v>0</v>
      </c>
      <c r="K176" s="4">
        <f t="shared" si="100"/>
        <v>0</v>
      </c>
      <c r="L176" s="4">
        <f t="shared" si="100"/>
        <v>0</v>
      </c>
      <c r="M176" s="4">
        <f t="shared" si="100"/>
        <v>-1145.97107642827</v>
      </c>
      <c r="N176" s="4">
        <f t="shared" si="100"/>
        <v>0</v>
      </c>
      <c r="O176" s="4">
        <f t="shared" si="100"/>
        <v>855.89659435103647</v>
      </c>
      <c r="P176" s="4">
        <f t="shared" si="100"/>
        <v>0</v>
      </c>
      <c r="Q176" s="4">
        <f t="shared" si="100"/>
        <v>0</v>
      </c>
      <c r="R176" s="4">
        <f t="shared" si="100"/>
        <v>0</v>
      </c>
      <c r="S176" s="4">
        <f t="shared" si="100"/>
        <v>0</v>
      </c>
      <c r="T176" s="4">
        <f t="shared" si="100"/>
        <v>-238.72755262468399</v>
      </c>
      <c r="U176" s="4">
        <f t="shared" si="100"/>
        <v>0</v>
      </c>
      <c r="V176" s="4">
        <f t="shared" si="100"/>
        <v>1945.53307418178</v>
      </c>
      <c r="X176" s="3">
        <f t="shared" si="84"/>
        <v>1.4538619858888073</v>
      </c>
    </row>
    <row r="177" spans="1:24" x14ac:dyDescent="0.2">
      <c r="A177">
        <v>6004</v>
      </c>
      <c r="B177">
        <v>18</v>
      </c>
      <c r="C177" s="4">
        <f t="shared" ref="C177:V177" si="101">+(C136-C96)</f>
        <v>0</v>
      </c>
      <c r="D177" s="4">
        <f t="shared" si="101"/>
        <v>0</v>
      </c>
      <c r="E177" s="4">
        <f t="shared" si="101"/>
        <v>0</v>
      </c>
      <c r="F177" s="4">
        <f t="shared" si="101"/>
        <v>0</v>
      </c>
      <c r="G177" s="4">
        <f t="shared" si="101"/>
        <v>0</v>
      </c>
      <c r="H177" s="4">
        <f t="shared" si="101"/>
        <v>0</v>
      </c>
      <c r="I177" s="4">
        <f t="shared" ref="I177:V177" si="102">+(I136-I12)</f>
        <v>92.012242502768643</v>
      </c>
      <c r="J177" s="4">
        <f t="shared" si="102"/>
        <v>0</v>
      </c>
      <c r="K177" s="4">
        <f t="shared" si="102"/>
        <v>0</v>
      </c>
      <c r="L177" s="4">
        <f t="shared" si="102"/>
        <v>0</v>
      </c>
      <c r="M177" s="4">
        <f t="shared" si="102"/>
        <v>-2059.6866285390602</v>
      </c>
      <c r="N177" s="4">
        <f t="shared" si="102"/>
        <v>0</v>
      </c>
      <c r="O177" s="4">
        <f t="shared" si="102"/>
        <v>873.2935328638722</v>
      </c>
      <c r="P177" s="4">
        <f t="shared" si="102"/>
        <v>0</v>
      </c>
      <c r="Q177" s="4">
        <f t="shared" si="102"/>
        <v>0</v>
      </c>
      <c r="R177" s="4">
        <f t="shared" si="102"/>
        <v>0</v>
      </c>
      <c r="S177" s="4">
        <f t="shared" si="102"/>
        <v>0</v>
      </c>
      <c r="T177" s="4">
        <f t="shared" si="102"/>
        <v>-528.93794491278402</v>
      </c>
      <c r="U177" s="4">
        <f t="shared" si="102"/>
        <v>0</v>
      </c>
      <c r="V177" s="4">
        <f t="shared" si="102"/>
        <v>2106.4757314268977</v>
      </c>
      <c r="X177" s="3">
        <f t="shared" si="84"/>
        <v>0.48315693334169418</v>
      </c>
    </row>
    <row r="178" spans="1:24" x14ac:dyDescent="0.2">
      <c r="A178">
        <v>6004</v>
      </c>
      <c r="B178">
        <v>19</v>
      </c>
      <c r="C178" s="4">
        <f t="shared" ref="C178:V178" si="103">+(C137-C97)</f>
        <v>0</v>
      </c>
      <c r="D178" s="4">
        <f t="shared" si="103"/>
        <v>0</v>
      </c>
      <c r="E178" s="4">
        <f t="shared" si="103"/>
        <v>0</v>
      </c>
      <c r="F178" s="4">
        <f t="shared" si="103"/>
        <v>0</v>
      </c>
      <c r="G178" s="4">
        <f t="shared" si="103"/>
        <v>0</v>
      </c>
      <c r="H178" s="4">
        <f t="shared" si="103"/>
        <v>0</v>
      </c>
      <c r="I178" s="4">
        <f t="shared" ref="I178:V178" si="104">+(I137-I13)</f>
        <v>-5.2916977076858904</v>
      </c>
      <c r="J178" s="4">
        <f t="shared" si="104"/>
        <v>0</v>
      </c>
      <c r="K178" s="4">
        <f t="shared" si="104"/>
        <v>0</v>
      </c>
      <c r="L178" s="4">
        <f t="shared" si="104"/>
        <v>0</v>
      </c>
      <c r="M178" s="4">
        <f t="shared" si="104"/>
        <v>-511.09867314932501</v>
      </c>
      <c r="N178" s="4">
        <f t="shared" si="104"/>
        <v>0</v>
      </c>
      <c r="O178" s="4">
        <f t="shared" si="104"/>
        <v>890.77327681497457</v>
      </c>
      <c r="P178" s="4">
        <f t="shared" si="104"/>
        <v>0</v>
      </c>
      <c r="Q178" s="4">
        <f t="shared" si="104"/>
        <v>0</v>
      </c>
      <c r="R178" s="4">
        <f t="shared" si="104"/>
        <v>0</v>
      </c>
      <c r="S178" s="4">
        <f t="shared" si="104"/>
        <v>0</v>
      </c>
      <c r="T178" s="4">
        <f t="shared" si="104"/>
        <v>1441.5514545436113</v>
      </c>
      <c r="U178" s="4">
        <f t="shared" si="104"/>
        <v>0</v>
      </c>
      <c r="V178" s="4">
        <f t="shared" si="104"/>
        <v>1075.3125834881669</v>
      </c>
      <c r="X178" s="3">
        <f t="shared" si="84"/>
        <v>2.8912469439897417</v>
      </c>
    </row>
    <row r="179" spans="1:24" x14ac:dyDescent="0.2">
      <c r="A179">
        <v>6004</v>
      </c>
      <c r="B179">
        <v>20</v>
      </c>
      <c r="C179" s="4">
        <f t="shared" ref="C179:V179" si="105">+(C138-C98)</f>
        <v>0</v>
      </c>
      <c r="D179" s="4">
        <f t="shared" si="105"/>
        <v>0</v>
      </c>
      <c r="E179" s="4">
        <f t="shared" si="105"/>
        <v>0</v>
      </c>
      <c r="F179" s="4">
        <f t="shared" si="105"/>
        <v>0</v>
      </c>
      <c r="G179" s="4">
        <f t="shared" si="105"/>
        <v>0</v>
      </c>
      <c r="H179" s="4">
        <f t="shared" si="105"/>
        <v>0</v>
      </c>
      <c r="I179" s="4">
        <f t="shared" ref="I179:V179" si="106">+(I138-I14)</f>
        <v>49.840866552945201</v>
      </c>
      <c r="J179" s="4">
        <f t="shared" si="106"/>
        <v>0</v>
      </c>
      <c r="K179" s="4">
        <f t="shared" si="106"/>
        <v>0</v>
      </c>
      <c r="L179" s="4">
        <f t="shared" si="106"/>
        <v>0</v>
      </c>
      <c r="M179" s="4">
        <f t="shared" si="106"/>
        <v>-1416.86779837931</v>
      </c>
      <c r="N179" s="4">
        <f t="shared" si="106"/>
        <v>0</v>
      </c>
      <c r="O179" s="4">
        <f t="shared" si="106"/>
        <v>908.86934717945564</v>
      </c>
      <c r="P179" s="4">
        <f t="shared" si="106"/>
        <v>0</v>
      </c>
      <c r="Q179" s="4">
        <f t="shared" si="106"/>
        <v>0</v>
      </c>
      <c r="R179" s="4">
        <f t="shared" si="106"/>
        <v>0</v>
      </c>
      <c r="S179" s="4">
        <f t="shared" si="106"/>
        <v>0</v>
      </c>
      <c r="T179" s="4">
        <f t="shared" si="106"/>
        <v>1675.8423726214894</v>
      </c>
      <c r="U179" s="4">
        <f t="shared" si="106"/>
        <v>0</v>
      </c>
      <c r="V179" s="4">
        <f t="shared" si="106"/>
        <v>1116.9028984475599</v>
      </c>
      <c r="X179" s="3">
        <f t="shared" si="84"/>
        <v>2.33458768642214</v>
      </c>
    </row>
    <row r="180" spans="1:24" x14ac:dyDescent="0.2">
      <c r="A180">
        <v>6004</v>
      </c>
      <c r="B180">
        <v>21</v>
      </c>
      <c r="C180" s="4">
        <f t="shared" ref="C180:V180" si="107">+(C139-C99)</f>
        <v>0</v>
      </c>
      <c r="D180" s="4">
        <f t="shared" si="107"/>
        <v>0</v>
      </c>
      <c r="E180" s="4">
        <f t="shared" si="107"/>
        <v>0</v>
      </c>
      <c r="F180" s="4">
        <f t="shared" si="107"/>
        <v>0</v>
      </c>
      <c r="G180" s="4">
        <f t="shared" si="107"/>
        <v>0</v>
      </c>
      <c r="H180" s="4">
        <f t="shared" si="107"/>
        <v>0</v>
      </c>
      <c r="I180" s="4">
        <f t="shared" ref="I180:V180" si="108">+(I139-I15)</f>
        <v>54.187638687111111</v>
      </c>
      <c r="J180" s="4">
        <f t="shared" si="108"/>
        <v>0</v>
      </c>
      <c r="K180" s="4">
        <f t="shared" si="108"/>
        <v>0</v>
      </c>
      <c r="L180" s="4">
        <f t="shared" si="108"/>
        <v>0</v>
      </c>
      <c r="M180" s="4">
        <f t="shared" si="108"/>
        <v>-591.95119406316098</v>
      </c>
      <c r="N180" s="4">
        <f t="shared" si="108"/>
        <v>0</v>
      </c>
      <c r="O180" s="4">
        <f t="shared" si="108"/>
        <v>926.15332180333689</v>
      </c>
      <c r="P180" s="4">
        <f t="shared" si="108"/>
        <v>0</v>
      </c>
      <c r="Q180" s="4">
        <f t="shared" si="108"/>
        <v>0</v>
      </c>
      <c r="R180" s="4">
        <f t="shared" si="108"/>
        <v>0</v>
      </c>
      <c r="S180" s="4">
        <f t="shared" si="108"/>
        <v>0</v>
      </c>
      <c r="T180" s="4">
        <f t="shared" si="108"/>
        <v>1573.8321053810701</v>
      </c>
      <c r="U180" s="4">
        <f t="shared" si="108"/>
        <v>0</v>
      </c>
      <c r="V180" s="4">
        <f t="shared" si="108"/>
        <v>1192.255349467943</v>
      </c>
      <c r="X180" s="3">
        <f t="shared" si="84"/>
        <v>3.1544772212762999</v>
      </c>
    </row>
    <row r="181" spans="1:24" x14ac:dyDescent="0.2">
      <c r="A181">
        <v>6004</v>
      </c>
      <c r="B181">
        <v>22</v>
      </c>
      <c r="C181" s="4">
        <f t="shared" ref="C181:V181" si="109">+(C140-C100)</f>
        <v>0</v>
      </c>
      <c r="D181" s="4">
        <f t="shared" si="109"/>
        <v>0</v>
      </c>
      <c r="E181" s="4">
        <f t="shared" si="109"/>
        <v>0</v>
      </c>
      <c r="F181" s="4">
        <f t="shared" si="109"/>
        <v>0</v>
      </c>
      <c r="G181" s="4">
        <f t="shared" si="109"/>
        <v>0</v>
      </c>
      <c r="H181" s="4">
        <f t="shared" si="109"/>
        <v>0</v>
      </c>
      <c r="I181" s="4">
        <f t="shared" ref="I181:V181" si="110">+(I140-I16)</f>
        <v>58.730503075030306</v>
      </c>
      <c r="J181" s="4">
        <f t="shared" si="110"/>
        <v>0</v>
      </c>
      <c r="K181" s="4">
        <f t="shared" si="110"/>
        <v>0</v>
      </c>
      <c r="L181" s="4">
        <f t="shared" si="110"/>
        <v>0</v>
      </c>
      <c r="M181" s="4">
        <f t="shared" si="110"/>
        <v>-719.42314581188498</v>
      </c>
      <c r="N181" s="4">
        <f t="shared" si="110"/>
        <v>0</v>
      </c>
      <c r="O181" s="4">
        <f t="shared" si="110"/>
        <v>945.75758870633911</v>
      </c>
      <c r="P181" s="4">
        <f t="shared" si="110"/>
        <v>0</v>
      </c>
      <c r="Q181" s="4">
        <f t="shared" si="110"/>
        <v>0</v>
      </c>
      <c r="R181" s="4">
        <f t="shared" si="110"/>
        <v>0</v>
      </c>
      <c r="S181" s="4">
        <f t="shared" si="110"/>
        <v>0</v>
      </c>
      <c r="T181" s="4">
        <f t="shared" si="110"/>
        <v>1665.1566665719999</v>
      </c>
      <c r="U181" s="4">
        <f t="shared" si="110"/>
        <v>0</v>
      </c>
      <c r="V181" s="4">
        <f t="shared" si="110"/>
        <v>1370.14036768748</v>
      </c>
      <c r="X181" s="3">
        <f t="shared" si="84"/>
        <v>3.3203619802289639</v>
      </c>
    </row>
    <row r="182" spans="1:24" x14ac:dyDescent="0.2">
      <c r="A182">
        <v>6004</v>
      </c>
      <c r="B182">
        <v>23</v>
      </c>
      <c r="C182" s="4">
        <f t="shared" ref="C182:V182" si="111">+(C141-C101)</f>
        <v>0</v>
      </c>
      <c r="D182" s="4">
        <f t="shared" si="111"/>
        <v>0</v>
      </c>
      <c r="E182" s="4">
        <f t="shared" si="111"/>
        <v>0</v>
      </c>
      <c r="F182" s="4">
        <f t="shared" si="111"/>
        <v>0</v>
      </c>
      <c r="G182" s="4">
        <f t="shared" si="111"/>
        <v>0</v>
      </c>
      <c r="H182" s="4">
        <f t="shared" si="111"/>
        <v>0</v>
      </c>
      <c r="I182" s="4">
        <f t="shared" ref="I182:V182" si="112">+(I141-I17)</f>
        <v>54.961715901155387</v>
      </c>
      <c r="J182" s="4">
        <f t="shared" si="112"/>
        <v>0</v>
      </c>
      <c r="K182" s="4">
        <f t="shared" si="112"/>
        <v>0</v>
      </c>
      <c r="L182" s="4">
        <f t="shared" si="112"/>
        <v>0</v>
      </c>
      <c r="M182" s="4">
        <f t="shared" si="112"/>
        <v>-778.46489951084595</v>
      </c>
      <c r="N182" s="4">
        <f t="shared" si="112"/>
        <v>0</v>
      </c>
      <c r="O182" s="4">
        <f t="shared" si="112"/>
        <v>966.6026514835105</v>
      </c>
      <c r="P182" s="4">
        <f t="shared" si="112"/>
        <v>0</v>
      </c>
      <c r="Q182" s="4">
        <f t="shared" si="112"/>
        <v>0</v>
      </c>
      <c r="R182" s="4">
        <f t="shared" si="112"/>
        <v>0</v>
      </c>
      <c r="S182" s="4">
        <f t="shared" si="112"/>
        <v>-48.159363450418297</v>
      </c>
      <c r="T182" s="4">
        <f t="shared" si="112"/>
        <v>1713.5022550856299</v>
      </c>
      <c r="U182" s="4">
        <f t="shared" si="112"/>
        <v>0</v>
      </c>
      <c r="V182" s="4">
        <f t="shared" si="112"/>
        <v>1772.6651788574791</v>
      </c>
      <c r="X182" s="3">
        <f t="shared" si="84"/>
        <v>3.6811075383665108</v>
      </c>
    </row>
    <row r="183" spans="1:24" x14ac:dyDescent="0.2">
      <c r="A183">
        <v>6004</v>
      </c>
      <c r="B183">
        <v>24</v>
      </c>
      <c r="C183" s="4">
        <f t="shared" ref="C183:V183" si="113">+(C142-C102)</f>
        <v>0</v>
      </c>
      <c r="D183" s="4">
        <f t="shared" si="113"/>
        <v>0</v>
      </c>
      <c r="E183" s="4">
        <f t="shared" si="113"/>
        <v>0</v>
      </c>
      <c r="F183" s="4">
        <f t="shared" si="113"/>
        <v>0</v>
      </c>
      <c r="G183" s="4">
        <f t="shared" si="113"/>
        <v>0</v>
      </c>
      <c r="H183" s="4">
        <f t="shared" si="113"/>
        <v>0</v>
      </c>
      <c r="I183" s="4">
        <f t="shared" ref="I183:V183" si="114">+(I142-I18)</f>
        <v>58.145276757264718</v>
      </c>
      <c r="J183" s="4">
        <f t="shared" si="114"/>
        <v>0</v>
      </c>
      <c r="K183" s="4">
        <f t="shared" si="114"/>
        <v>0</v>
      </c>
      <c r="L183" s="4">
        <f t="shared" si="114"/>
        <v>0</v>
      </c>
      <c r="M183" s="4">
        <f t="shared" si="114"/>
        <v>-1292.67971840267</v>
      </c>
      <c r="N183" s="4">
        <f t="shared" si="114"/>
        <v>0</v>
      </c>
      <c r="O183" s="4">
        <f t="shared" si="114"/>
        <v>986.19256224852961</v>
      </c>
      <c r="P183" s="4">
        <f t="shared" si="114"/>
        <v>0</v>
      </c>
      <c r="Q183" s="4">
        <f t="shared" si="114"/>
        <v>0</v>
      </c>
      <c r="R183" s="4">
        <f t="shared" si="114"/>
        <v>0</v>
      </c>
      <c r="S183" s="4">
        <f t="shared" si="114"/>
        <v>-224.18231898129699</v>
      </c>
      <c r="T183" s="4">
        <f t="shared" si="114"/>
        <v>3437.2328761229401</v>
      </c>
      <c r="U183" s="4">
        <f t="shared" si="114"/>
        <v>0</v>
      </c>
      <c r="V183" s="4">
        <f t="shared" si="114"/>
        <v>1214.8795738288311</v>
      </c>
      <c r="X183" s="3">
        <f t="shared" si="84"/>
        <v>4.1795882515735983</v>
      </c>
    </row>
    <row r="184" spans="1:24" x14ac:dyDescent="0.2">
      <c r="A184">
        <v>6004</v>
      </c>
      <c r="B184">
        <v>25</v>
      </c>
      <c r="C184" s="4">
        <f t="shared" ref="C184:V184" si="115">+(C143-C103)</f>
        <v>0</v>
      </c>
      <c r="D184" s="4">
        <f t="shared" si="115"/>
        <v>0</v>
      </c>
      <c r="E184" s="4">
        <f t="shared" si="115"/>
        <v>0</v>
      </c>
      <c r="F184" s="4">
        <f t="shared" si="115"/>
        <v>0</v>
      </c>
      <c r="G184" s="4">
        <f t="shared" si="115"/>
        <v>0</v>
      </c>
      <c r="H184" s="4">
        <f t="shared" si="115"/>
        <v>0</v>
      </c>
      <c r="I184" s="4">
        <f t="shared" ref="I184:V184" si="116">+(I143-I19)</f>
        <v>217.64304274915042</v>
      </c>
      <c r="J184" s="4">
        <f t="shared" si="116"/>
        <v>0</v>
      </c>
      <c r="K184" s="4">
        <f t="shared" si="116"/>
        <v>-3435.08039263103</v>
      </c>
      <c r="L184" s="4">
        <f t="shared" si="116"/>
        <v>0</v>
      </c>
      <c r="M184" s="4">
        <f t="shared" si="116"/>
        <v>-6878.7033988632502</v>
      </c>
      <c r="N184" s="4">
        <f t="shared" si="116"/>
        <v>0</v>
      </c>
      <c r="O184" s="4">
        <f t="shared" si="116"/>
        <v>1004.413776837403</v>
      </c>
      <c r="P184" s="4">
        <f t="shared" si="116"/>
        <v>-2237.5783533311001</v>
      </c>
      <c r="Q184" s="4">
        <f t="shared" si="116"/>
        <v>0</v>
      </c>
      <c r="R184" s="4">
        <f t="shared" si="116"/>
        <v>0</v>
      </c>
      <c r="S184" s="4">
        <f t="shared" si="116"/>
        <v>-2721.3929075573001</v>
      </c>
      <c r="T184" s="4">
        <f t="shared" si="116"/>
        <v>488.04224544951097</v>
      </c>
      <c r="U184" s="4">
        <f t="shared" si="116"/>
        <v>0</v>
      </c>
      <c r="V184" s="4">
        <f t="shared" si="116"/>
        <v>7279.3210266709984</v>
      </c>
      <c r="X184" s="3">
        <f t="shared" si="84"/>
        <v>-6.2833349606756173</v>
      </c>
    </row>
    <row r="185" spans="1:24" x14ac:dyDescent="0.2">
      <c r="A185">
        <v>6004</v>
      </c>
      <c r="B185">
        <v>26</v>
      </c>
      <c r="C185" s="4">
        <f t="shared" ref="C185:V185" si="117">+(C144-C104)</f>
        <v>0</v>
      </c>
      <c r="D185" s="4">
        <f t="shared" si="117"/>
        <v>0</v>
      </c>
      <c r="E185" s="4">
        <f t="shared" si="117"/>
        <v>0</v>
      </c>
      <c r="F185" s="4">
        <f t="shared" si="117"/>
        <v>0</v>
      </c>
      <c r="G185" s="4">
        <f t="shared" si="117"/>
        <v>0</v>
      </c>
      <c r="H185" s="4">
        <f t="shared" si="117"/>
        <v>0</v>
      </c>
      <c r="I185" s="4">
        <f t="shared" ref="I185:V185" si="118">+(I144-I20)</f>
        <v>-9.4027215229449901</v>
      </c>
      <c r="J185" s="4">
        <f t="shared" si="118"/>
        <v>0</v>
      </c>
      <c r="K185" s="4">
        <f t="shared" si="118"/>
        <v>-266.16426146419599</v>
      </c>
      <c r="L185" s="4">
        <f t="shared" si="118"/>
        <v>0</v>
      </c>
      <c r="M185" s="4">
        <f t="shared" si="118"/>
        <v>-908.57437276657799</v>
      </c>
      <c r="N185" s="4">
        <f t="shared" si="118"/>
        <v>0</v>
      </c>
      <c r="O185" s="4">
        <f t="shared" si="118"/>
        <v>2080.729909512082</v>
      </c>
      <c r="P185" s="4">
        <f t="shared" si="118"/>
        <v>-1011.5033734564799</v>
      </c>
      <c r="Q185" s="4">
        <f t="shared" si="118"/>
        <v>0</v>
      </c>
      <c r="R185" s="4">
        <f t="shared" si="118"/>
        <v>0</v>
      </c>
      <c r="S185" s="4">
        <f t="shared" si="118"/>
        <v>-3320.7600726138198</v>
      </c>
      <c r="T185" s="4">
        <f t="shared" si="118"/>
        <v>1229.378812457443</v>
      </c>
      <c r="U185" s="4">
        <f t="shared" si="118"/>
        <v>0</v>
      </c>
      <c r="V185" s="4">
        <f t="shared" si="118"/>
        <v>1951.5530018941099</v>
      </c>
      <c r="X185" s="3">
        <f t="shared" si="84"/>
        <v>-0.25474307796038376</v>
      </c>
    </row>
    <row r="186" spans="1:24" x14ac:dyDescent="0.2">
      <c r="A186">
        <v>6004</v>
      </c>
      <c r="B186">
        <v>27</v>
      </c>
      <c r="C186" s="4">
        <f t="shared" ref="C186:V186" si="119">+(C145-C105)</f>
        <v>0</v>
      </c>
      <c r="D186" s="4">
        <f t="shared" si="119"/>
        <v>0</v>
      </c>
      <c r="E186" s="4">
        <f t="shared" si="119"/>
        <v>0</v>
      </c>
      <c r="F186" s="4">
        <f t="shared" si="119"/>
        <v>0</v>
      </c>
      <c r="G186" s="4">
        <f t="shared" si="119"/>
        <v>0</v>
      </c>
      <c r="H186" s="4">
        <f t="shared" si="119"/>
        <v>0</v>
      </c>
      <c r="I186" s="4">
        <f t="shared" ref="I186:V186" si="120">+(I145-I21)</f>
        <v>272.97054703061747</v>
      </c>
      <c r="J186" s="4">
        <f t="shared" si="120"/>
        <v>0</v>
      </c>
      <c r="K186" s="4">
        <f t="shared" si="120"/>
        <v>-275.87687092777998</v>
      </c>
      <c r="L186" s="4">
        <f t="shared" si="120"/>
        <v>0</v>
      </c>
      <c r="M186" s="4">
        <f t="shared" si="120"/>
        <v>-1386.40374696053</v>
      </c>
      <c r="N186" s="4">
        <f t="shared" si="120"/>
        <v>0</v>
      </c>
      <c r="O186" s="4">
        <f t="shared" si="120"/>
        <v>1094.770201542412</v>
      </c>
      <c r="P186" s="4">
        <f t="shared" si="120"/>
        <v>-1343.6532733152801</v>
      </c>
      <c r="Q186" s="4">
        <f t="shared" si="120"/>
        <v>0</v>
      </c>
      <c r="R186" s="4">
        <f t="shared" si="120"/>
        <v>0</v>
      </c>
      <c r="S186" s="4">
        <f t="shared" si="120"/>
        <v>-140.54551477325001</v>
      </c>
      <c r="T186" s="4">
        <f t="shared" si="120"/>
        <v>1803.6674752259019</v>
      </c>
      <c r="U186" s="4">
        <f t="shared" si="120"/>
        <v>0</v>
      </c>
      <c r="V186" s="4">
        <f t="shared" si="120"/>
        <v>437.17014258577996</v>
      </c>
      <c r="X186" s="3">
        <f t="shared" si="84"/>
        <v>0.46209896040787107</v>
      </c>
    </row>
    <row r="187" spans="1:24" x14ac:dyDescent="0.2">
      <c r="A187">
        <v>6004</v>
      </c>
      <c r="B187">
        <v>28</v>
      </c>
      <c r="C187" s="4">
        <f t="shared" ref="C187:V187" si="121">+(C146-C106)</f>
        <v>0</v>
      </c>
      <c r="D187" s="4">
        <f t="shared" si="121"/>
        <v>0</v>
      </c>
      <c r="E187" s="4">
        <f t="shared" si="121"/>
        <v>0</v>
      </c>
      <c r="F187" s="4">
        <f t="shared" si="121"/>
        <v>0</v>
      </c>
      <c r="G187" s="4">
        <f t="shared" si="121"/>
        <v>0</v>
      </c>
      <c r="H187" s="4">
        <f t="shared" si="121"/>
        <v>0</v>
      </c>
      <c r="I187" s="4">
        <f t="shared" ref="I187:V187" si="122">+(I146-I22)</f>
        <v>-9.7218591986954799</v>
      </c>
      <c r="J187" s="4">
        <f t="shared" si="122"/>
        <v>0</v>
      </c>
      <c r="K187" s="4">
        <f t="shared" si="122"/>
        <v>-283.702219814508</v>
      </c>
      <c r="L187" s="4">
        <f t="shared" si="122"/>
        <v>0</v>
      </c>
      <c r="M187" s="4">
        <f t="shared" si="122"/>
        <v>-876.87213372557903</v>
      </c>
      <c r="N187" s="4">
        <f t="shared" si="122"/>
        <v>0</v>
      </c>
      <c r="O187" s="4">
        <f t="shared" si="122"/>
        <v>472.94336481927792</v>
      </c>
      <c r="P187" s="4">
        <f t="shared" si="122"/>
        <v>-1058.8687367728701</v>
      </c>
      <c r="Q187" s="4">
        <f t="shared" si="122"/>
        <v>89.339223571850496</v>
      </c>
      <c r="R187" s="4">
        <f t="shared" si="122"/>
        <v>0</v>
      </c>
      <c r="S187" s="4">
        <f t="shared" si="122"/>
        <v>-143.06469513402499</v>
      </c>
      <c r="T187" s="4">
        <f t="shared" si="122"/>
        <v>2374.5500552364479</v>
      </c>
      <c r="U187" s="4">
        <f t="shared" si="122"/>
        <v>-305.57805531343581</v>
      </c>
      <c r="V187" s="4">
        <f t="shared" si="122"/>
        <v>-8.3656534587577394</v>
      </c>
      <c r="X187" s="3">
        <f t="shared" si="84"/>
        <v>0.25065929020970518</v>
      </c>
    </row>
    <row r="188" spans="1:24" x14ac:dyDescent="0.2">
      <c r="A188">
        <v>6004</v>
      </c>
      <c r="B188">
        <v>29</v>
      </c>
      <c r="C188" s="4">
        <f t="shared" ref="C188:V188" si="123">+(C147-C107)</f>
        <v>0</v>
      </c>
      <c r="D188" s="4">
        <f t="shared" si="123"/>
        <v>0</v>
      </c>
      <c r="E188" s="4">
        <f t="shared" si="123"/>
        <v>0</v>
      </c>
      <c r="F188" s="4">
        <f t="shared" si="123"/>
        <v>0</v>
      </c>
      <c r="G188" s="4">
        <f t="shared" si="123"/>
        <v>0</v>
      </c>
      <c r="H188" s="4">
        <f t="shared" si="123"/>
        <v>0</v>
      </c>
      <c r="I188" s="4">
        <f t="shared" ref="I188:V188" si="124">+(I147-I23)</f>
        <v>91.863091948904795</v>
      </c>
      <c r="J188" s="4">
        <f t="shared" si="124"/>
        <v>0</v>
      </c>
      <c r="K188" s="4">
        <f t="shared" si="124"/>
        <v>-4678.4160415965907</v>
      </c>
      <c r="L188" s="4">
        <f t="shared" si="124"/>
        <v>0</v>
      </c>
      <c r="M188" s="4">
        <f t="shared" si="124"/>
        <v>-902.90785750648604</v>
      </c>
      <c r="N188" s="4">
        <f t="shared" si="124"/>
        <v>0</v>
      </c>
      <c r="O188" s="4">
        <f t="shared" si="124"/>
        <v>3404.1968966146815</v>
      </c>
      <c r="P188" s="4">
        <f t="shared" si="124"/>
        <v>-914.60081872931198</v>
      </c>
      <c r="Q188" s="4">
        <f t="shared" si="124"/>
        <v>0</v>
      </c>
      <c r="R188" s="4">
        <f t="shared" si="124"/>
        <v>0</v>
      </c>
      <c r="S188" s="4">
        <f t="shared" si="124"/>
        <v>-395.40121028452597</v>
      </c>
      <c r="T188" s="4">
        <f t="shared" si="124"/>
        <v>1248.1842210154418</v>
      </c>
      <c r="U188" s="4">
        <f t="shared" si="124"/>
        <v>93.504751588576994</v>
      </c>
      <c r="V188" s="4">
        <f t="shared" si="124"/>
        <v>68.060478206039988</v>
      </c>
      <c r="X188" s="3">
        <f t="shared" si="84"/>
        <v>-1.9855164887432688</v>
      </c>
    </row>
    <row r="189" spans="1:24" x14ac:dyDescent="0.2">
      <c r="A189">
        <v>6004</v>
      </c>
      <c r="B189">
        <v>30</v>
      </c>
      <c r="C189" s="4">
        <f t="shared" ref="C189:V189" si="125">+(C148-C108)</f>
        <v>0</v>
      </c>
      <c r="D189" s="4">
        <f t="shared" si="125"/>
        <v>0</v>
      </c>
      <c r="E189" s="4">
        <f t="shared" si="125"/>
        <v>0</v>
      </c>
      <c r="F189" s="4">
        <f t="shared" si="125"/>
        <v>0</v>
      </c>
      <c r="G189" s="4">
        <f t="shared" si="125"/>
        <v>0</v>
      </c>
      <c r="H189" s="4">
        <f t="shared" si="125"/>
        <v>0</v>
      </c>
      <c r="I189" s="4">
        <f t="shared" ref="I189:V189" si="126">+(I148-I24)</f>
        <v>95.497958107643996</v>
      </c>
      <c r="J189" s="4">
        <f t="shared" si="126"/>
        <v>0</v>
      </c>
      <c r="K189" s="4">
        <f t="shared" si="126"/>
        <v>-301.12556503290898</v>
      </c>
      <c r="L189" s="4">
        <f t="shared" si="126"/>
        <v>0</v>
      </c>
      <c r="M189" s="4">
        <f t="shared" si="126"/>
        <v>-3781.5793167125798</v>
      </c>
      <c r="N189" s="4">
        <f t="shared" si="126"/>
        <v>0</v>
      </c>
      <c r="O189" s="4">
        <f t="shared" si="126"/>
        <v>2585.016262045056</v>
      </c>
      <c r="P189" s="4">
        <f t="shared" si="126"/>
        <v>-747.38533232621296</v>
      </c>
      <c r="Q189" s="4">
        <f t="shared" si="126"/>
        <v>664.77868373580009</v>
      </c>
      <c r="R189" s="4">
        <f t="shared" si="126"/>
        <v>0</v>
      </c>
      <c r="S189" s="4">
        <f t="shared" si="126"/>
        <v>-931.78652458801605</v>
      </c>
      <c r="T189" s="4">
        <f t="shared" si="126"/>
        <v>1630.1036132565303</v>
      </c>
      <c r="U189" s="4">
        <f t="shared" si="126"/>
        <v>37.917771728173022</v>
      </c>
      <c r="V189" s="4">
        <f t="shared" si="126"/>
        <v>2602.4405147104353</v>
      </c>
      <c r="X189" s="3">
        <f t="shared" si="84"/>
        <v>1.853878064923921</v>
      </c>
    </row>
    <row r="190" spans="1:24" x14ac:dyDescent="0.2">
      <c r="A190">
        <v>6004</v>
      </c>
      <c r="B190">
        <v>31</v>
      </c>
      <c r="C190" s="4">
        <f t="shared" ref="C190:V190" si="127">+(C149-C109)</f>
        <v>0</v>
      </c>
      <c r="D190" s="4">
        <f t="shared" si="127"/>
        <v>0</v>
      </c>
      <c r="E190" s="4">
        <f t="shared" si="127"/>
        <v>0</v>
      </c>
      <c r="F190" s="4">
        <f t="shared" si="127"/>
        <v>0</v>
      </c>
      <c r="G190" s="4">
        <f t="shared" si="127"/>
        <v>0</v>
      </c>
      <c r="H190" s="4">
        <f t="shared" si="127"/>
        <v>0</v>
      </c>
      <c r="I190" s="4">
        <f t="shared" ref="I190:V190" si="128">+(I149-I25)</f>
        <v>110.34414779047169</v>
      </c>
      <c r="J190" s="4">
        <f t="shared" si="128"/>
        <v>0</v>
      </c>
      <c r="K190" s="4">
        <f t="shared" si="128"/>
        <v>-310.76766543916301</v>
      </c>
      <c r="L190" s="4">
        <f t="shared" si="128"/>
        <v>0</v>
      </c>
      <c r="M190" s="4">
        <f t="shared" si="128"/>
        <v>-954.65796328450904</v>
      </c>
      <c r="N190" s="4">
        <f t="shared" si="128"/>
        <v>0</v>
      </c>
      <c r="O190" s="4">
        <f t="shared" si="128"/>
        <v>1408.4935247291601</v>
      </c>
      <c r="P190" s="4">
        <f t="shared" si="128"/>
        <v>-514.94266470086802</v>
      </c>
      <c r="Q190" s="4">
        <f t="shared" si="128"/>
        <v>693.44706465355102</v>
      </c>
      <c r="R190" s="4">
        <f t="shared" si="128"/>
        <v>0</v>
      </c>
      <c r="S190" s="4">
        <f t="shared" si="128"/>
        <v>-861.58075620165698</v>
      </c>
      <c r="T190" s="4">
        <f t="shared" si="128"/>
        <v>1881.3754624984178</v>
      </c>
      <c r="U190" s="4">
        <f t="shared" si="128"/>
        <v>-129.88221517461596</v>
      </c>
      <c r="V190" s="4">
        <f t="shared" si="128"/>
        <v>756.0248532923199</v>
      </c>
      <c r="X190" s="3">
        <f t="shared" si="84"/>
        <v>2.0778537881631074</v>
      </c>
    </row>
    <row r="191" spans="1:24" x14ac:dyDescent="0.2">
      <c r="A191">
        <v>6004</v>
      </c>
      <c r="B191">
        <v>32</v>
      </c>
      <c r="C191" s="4">
        <f t="shared" ref="C191:V191" si="129">+(C150-C110)</f>
        <v>0</v>
      </c>
      <c r="D191" s="4">
        <f t="shared" si="129"/>
        <v>0</v>
      </c>
      <c r="E191" s="4">
        <f t="shared" si="129"/>
        <v>0</v>
      </c>
      <c r="F191" s="4">
        <f t="shared" si="129"/>
        <v>0</v>
      </c>
      <c r="G191" s="4">
        <f t="shared" si="129"/>
        <v>0</v>
      </c>
      <c r="H191" s="4">
        <f t="shared" si="129"/>
        <v>0</v>
      </c>
      <c r="I191" s="4">
        <f t="shared" ref="I191:V191" si="130">+(I150-I26)</f>
        <v>150.25401973934288</v>
      </c>
      <c r="J191" s="4">
        <f t="shared" si="130"/>
        <v>0</v>
      </c>
      <c r="K191" s="4">
        <f t="shared" si="130"/>
        <v>-325.93674835672198</v>
      </c>
      <c r="L191" s="4">
        <f t="shared" si="130"/>
        <v>0</v>
      </c>
      <c r="M191" s="4">
        <f t="shared" si="130"/>
        <v>-975.93449695926904</v>
      </c>
      <c r="N191" s="4">
        <f t="shared" si="130"/>
        <v>0</v>
      </c>
      <c r="O191" s="4">
        <f t="shared" si="130"/>
        <v>1299.9416866566862</v>
      </c>
      <c r="P191" s="4">
        <f t="shared" si="130"/>
        <v>-540.75064242036296</v>
      </c>
      <c r="Q191" s="4">
        <f t="shared" si="130"/>
        <v>178.32022261824099</v>
      </c>
      <c r="R191" s="4">
        <f t="shared" si="130"/>
        <v>0</v>
      </c>
      <c r="S191" s="4">
        <f t="shared" si="130"/>
        <v>-1501.23483094259</v>
      </c>
      <c r="T191" s="4">
        <f t="shared" si="130"/>
        <v>2302.5815071404604</v>
      </c>
      <c r="U191" s="4">
        <f t="shared" si="130"/>
        <v>-8.7438467145852705</v>
      </c>
      <c r="V191" s="4">
        <f t="shared" si="130"/>
        <v>394.39778077849502</v>
      </c>
      <c r="X191" s="3">
        <f t="shared" si="84"/>
        <v>0.97289465153969612</v>
      </c>
    </row>
    <row r="192" spans="1:24" x14ac:dyDescent="0.2">
      <c r="A192">
        <v>6004</v>
      </c>
      <c r="B192">
        <v>33</v>
      </c>
      <c r="C192" s="4">
        <f t="shared" ref="C192:V192" si="131">+(C151-C111)</f>
        <v>0</v>
      </c>
      <c r="D192" s="4">
        <f t="shared" si="131"/>
        <v>0</v>
      </c>
      <c r="E192" s="4">
        <f t="shared" si="131"/>
        <v>0</v>
      </c>
      <c r="F192" s="4">
        <f t="shared" si="131"/>
        <v>0</v>
      </c>
      <c r="G192" s="4">
        <f t="shared" si="131"/>
        <v>0</v>
      </c>
      <c r="H192" s="4">
        <f t="shared" si="131"/>
        <v>0</v>
      </c>
      <c r="I192" s="4">
        <f t="shared" ref="I192:V192" si="132">+(I151-I27)</f>
        <v>226.99078219578098</v>
      </c>
      <c r="J192" s="4">
        <f t="shared" si="132"/>
        <v>0</v>
      </c>
      <c r="K192" s="4">
        <f t="shared" si="132"/>
        <v>-334.71316552452703</v>
      </c>
      <c r="L192" s="4">
        <f t="shared" si="132"/>
        <v>0</v>
      </c>
      <c r="M192" s="4">
        <f t="shared" si="132"/>
        <v>-2971.79323400868</v>
      </c>
      <c r="N192" s="4">
        <f t="shared" si="132"/>
        <v>0</v>
      </c>
      <c r="O192" s="4">
        <f t="shared" si="132"/>
        <v>1524.0172422469329</v>
      </c>
      <c r="P192" s="4">
        <f t="shared" si="132"/>
        <v>-523.490205442101</v>
      </c>
      <c r="Q192" s="4">
        <f t="shared" si="132"/>
        <v>0</v>
      </c>
      <c r="R192" s="4">
        <f t="shared" si="132"/>
        <v>0</v>
      </c>
      <c r="S192" s="4">
        <f t="shared" si="132"/>
        <v>-158.06456523008799</v>
      </c>
      <c r="T192" s="4">
        <f t="shared" si="132"/>
        <v>2353.4275010123602</v>
      </c>
      <c r="U192" s="4">
        <f t="shared" si="132"/>
        <v>0</v>
      </c>
      <c r="V192" s="4">
        <f t="shared" si="132"/>
        <v>2637.6633401915101</v>
      </c>
      <c r="X192" s="3">
        <f t="shared" si="84"/>
        <v>2.754037695441188</v>
      </c>
    </row>
    <row r="193" spans="1:24" x14ac:dyDescent="0.2">
      <c r="A193">
        <v>6004</v>
      </c>
      <c r="B193">
        <v>34</v>
      </c>
      <c r="C193" s="4">
        <f t="shared" ref="C193:V193" si="133">+(C152-C112)</f>
        <v>0</v>
      </c>
      <c r="D193" s="4">
        <f t="shared" si="133"/>
        <v>0</v>
      </c>
      <c r="E193" s="4">
        <f t="shared" si="133"/>
        <v>0</v>
      </c>
      <c r="F193" s="4">
        <f t="shared" si="133"/>
        <v>0</v>
      </c>
      <c r="G193" s="4">
        <f t="shared" si="133"/>
        <v>0</v>
      </c>
      <c r="H193" s="4">
        <f t="shared" si="133"/>
        <v>0</v>
      </c>
      <c r="I193" s="4">
        <f t="shared" ref="I193:V193" si="134">+(I152-I28)</f>
        <v>144.57593565810251</v>
      </c>
      <c r="J193" s="4">
        <f t="shared" si="134"/>
        <v>0</v>
      </c>
      <c r="K193" s="4">
        <f t="shared" si="134"/>
        <v>-330.10668706093702</v>
      </c>
      <c r="L193" s="4">
        <f t="shared" si="134"/>
        <v>0</v>
      </c>
      <c r="M193" s="4">
        <f t="shared" si="134"/>
        <v>-1041.5769452895499</v>
      </c>
      <c r="N193" s="4">
        <f t="shared" si="134"/>
        <v>0</v>
      </c>
      <c r="O193" s="4">
        <f t="shared" si="134"/>
        <v>2160.6729802082764</v>
      </c>
      <c r="P193" s="4">
        <f t="shared" si="134"/>
        <v>-525.03894699024499</v>
      </c>
      <c r="Q193" s="4">
        <f t="shared" si="134"/>
        <v>0</v>
      </c>
      <c r="R193" s="4">
        <f t="shared" si="134"/>
        <v>0</v>
      </c>
      <c r="S193" s="4">
        <f t="shared" si="134"/>
        <v>-1355.4366556155201</v>
      </c>
      <c r="T193" s="4">
        <f t="shared" si="134"/>
        <v>2347.596807543744</v>
      </c>
      <c r="U193" s="4">
        <f t="shared" si="134"/>
        <v>0</v>
      </c>
      <c r="V193" s="4">
        <f t="shared" si="134"/>
        <v>2103.1082131609628</v>
      </c>
      <c r="X193" s="3">
        <f t="shared" si="84"/>
        <v>3.5037947016148339</v>
      </c>
    </row>
    <row r="194" spans="1:24" x14ac:dyDescent="0.2">
      <c r="A194">
        <v>6004</v>
      </c>
      <c r="B194">
        <v>35</v>
      </c>
      <c r="C194" s="4">
        <f t="shared" ref="C194:V194" si="135">+(C153-C113)</f>
        <v>0</v>
      </c>
      <c r="D194" s="4">
        <f t="shared" si="135"/>
        <v>0</v>
      </c>
      <c r="E194" s="4">
        <f t="shared" si="135"/>
        <v>0</v>
      </c>
      <c r="F194" s="4">
        <f t="shared" si="135"/>
        <v>0</v>
      </c>
      <c r="G194" s="4">
        <f t="shared" si="135"/>
        <v>0</v>
      </c>
      <c r="H194" s="4">
        <f t="shared" si="135"/>
        <v>0</v>
      </c>
      <c r="I194" s="4">
        <f t="shared" ref="I194:V194" si="136">+(I153-I29)</f>
        <v>35.7820865358498</v>
      </c>
      <c r="J194" s="4">
        <f t="shared" si="136"/>
        <v>0</v>
      </c>
      <c r="K194" s="4">
        <f t="shared" si="136"/>
        <v>-343.57237808841103</v>
      </c>
      <c r="L194" s="4">
        <f t="shared" si="136"/>
        <v>0</v>
      </c>
      <c r="M194" s="4">
        <f t="shared" si="136"/>
        <v>-3594.1756061468</v>
      </c>
      <c r="N194" s="4">
        <f t="shared" si="136"/>
        <v>0</v>
      </c>
      <c r="O194" s="4">
        <f t="shared" si="136"/>
        <v>2085.7872090433266</v>
      </c>
      <c r="P194" s="4">
        <f t="shared" si="136"/>
        <v>-531.19891859695599</v>
      </c>
      <c r="Q194" s="4">
        <f t="shared" si="136"/>
        <v>23.623619558457602</v>
      </c>
      <c r="R194" s="4">
        <f t="shared" si="136"/>
        <v>0</v>
      </c>
      <c r="S194" s="4">
        <f t="shared" si="136"/>
        <v>-163.744455286207</v>
      </c>
      <c r="T194" s="4">
        <f t="shared" si="136"/>
        <v>2092.3624561760957</v>
      </c>
      <c r="U194" s="4">
        <f t="shared" si="136"/>
        <v>0</v>
      </c>
      <c r="V194" s="4">
        <f t="shared" si="136"/>
        <v>1511.6562685257809</v>
      </c>
      <c r="X194" s="3">
        <f t="shared" si="84"/>
        <v>1.1165202817211362</v>
      </c>
    </row>
    <row r="195" spans="1:24" x14ac:dyDescent="0.2">
      <c r="A195">
        <v>6004</v>
      </c>
      <c r="B195">
        <v>36</v>
      </c>
      <c r="C195" s="4">
        <f t="shared" ref="C195:V195" si="137">+(C154-C114)</f>
        <v>0</v>
      </c>
      <c r="D195" s="4">
        <f t="shared" si="137"/>
        <v>0</v>
      </c>
      <c r="E195" s="4">
        <f t="shared" si="137"/>
        <v>0</v>
      </c>
      <c r="F195" s="4">
        <f t="shared" si="137"/>
        <v>0</v>
      </c>
      <c r="G195" s="4">
        <f t="shared" si="137"/>
        <v>0</v>
      </c>
      <c r="H195" s="4">
        <f t="shared" si="137"/>
        <v>0</v>
      </c>
      <c r="I195" s="4">
        <f t="shared" ref="I195:V195" si="138">+(I154-I30)</f>
        <v>147.7883636592027</v>
      </c>
      <c r="J195" s="4">
        <f t="shared" si="138"/>
        <v>0</v>
      </c>
      <c r="K195" s="4">
        <f t="shared" si="138"/>
        <v>-387.96044768737403</v>
      </c>
      <c r="L195" s="4">
        <f t="shared" si="138"/>
        <v>0</v>
      </c>
      <c r="M195" s="4">
        <f t="shared" si="138"/>
        <v>-1426.63777473766</v>
      </c>
      <c r="N195" s="4">
        <f t="shared" si="138"/>
        <v>0</v>
      </c>
      <c r="O195" s="4">
        <f t="shared" si="138"/>
        <v>1876.0343915900394</v>
      </c>
      <c r="P195" s="4">
        <f t="shared" si="138"/>
        <v>-579.24687902667699</v>
      </c>
      <c r="Q195" s="4">
        <f t="shared" si="138"/>
        <v>174.238142970853</v>
      </c>
      <c r="R195" s="4">
        <f t="shared" si="138"/>
        <v>0</v>
      </c>
      <c r="S195" s="4">
        <f t="shared" si="138"/>
        <v>-154.08265660769601</v>
      </c>
      <c r="T195" s="4">
        <f t="shared" si="138"/>
        <v>2178.7097657786931</v>
      </c>
      <c r="U195" s="4">
        <f t="shared" si="138"/>
        <v>0</v>
      </c>
      <c r="V195" s="4">
        <f t="shared" si="138"/>
        <v>1810.3498642966208</v>
      </c>
      <c r="X195" s="3">
        <f t="shared" si="84"/>
        <v>3.6391927702360016</v>
      </c>
    </row>
    <row r="196" spans="1:24" x14ac:dyDescent="0.2">
      <c r="A196">
        <v>6004</v>
      </c>
      <c r="B196">
        <v>37</v>
      </c>
      <c r="C196" s="4">
        <f t="shared" ref="C196:V196" si="139">+(C155-C115)</f>
        <v>0</v>
      </c>
      <c r="D196" s="4">
        <f t="shared" si="139"/>
        <v>0</v>
      </c>
      <c r="E196" s="4">
        <f t="shared" si="139"/>
        <v>0</v>
      </c>
      <c r="F196" s="4">
        <f t="shared" si="139"/>
        <v>0</v>
      </c>
      <c r="G196" s="4">
        <f t="shared" si="139"/>
        <v>0</v>
      </c>
      <c r="H196" s="4">
        <f t="shared" si="139"/>
        <v>0</v>
      </c>
      <c r="I196" s="4">
        <f t="shared" ref="I196:V196" si="140">+(I155-I31)</f>
        <v>286.51954917615137</v>
      </c>
      <c r="J196" s="4">
        <f t="shared" si="140"/>
        <v>0</v>
      </c>
      <c r="K196" s="4">
        <f t="shared" si="140"/>
        <v>-392.44630043074801</v>
      </c>
      <c r="L196" s="4">
        <f t="shared" si="140"/>
        <v>0</v>
      </c>
      <c r="M196" s="4">
        <f t="shared" si="140"/>
        <v>-2073.1487116918302</v>
      </c>
      <c r="N196" s="4">
        <f t="shared" si="140"/>
        <v>0</v>
      </c>
      <c r="O196" s="4">
        <f t="shared" si="140"/>
        <v>1374.507441460328</v>
      </c>
      <c r="P196" s="4">
        <f t="shared" si="140"/>
        <v>-585.87398212439496</v>
      </c>
      <c r="Q196" s="4">
        <f t="shared" si="140"/>
        <v>535.87567887191403</v>
      </c>
      <c r="R196" s="4">
        <f t="shared" si="140"/>
        <v>0</v>
      </c>
      <c r="S196" s="4">
        <f t="shared" si="140"/>
        <v>-942.61077363656398</v>
      </c>
      <c r="T196" s="4">
        <f t="shared" si="140"/>
        <v>2268.1053106994796</v>
      </c>
      <c r="U196" s="4">
        <f t="shared" si="140"/>
        <v>0</v>
      </c>
      <c r="V196" s="4">
        <f t="shared" si="140"/>
        <v>5190.2257533526545</v>
      </c>
      <c r="X196" s="3">
        <f t="shared" si="84"/>
        <v>5.6611539656769905</v>
      </c>
    </row>
    <row r="197" spans="1:24" x14ac:dyDescent="0.2">
      <c r="A197">
        <v>6004</v>
      </c>
      <c r="B197">
        <v>38</v>
      </c>
      <c r="C197" s="4">
        <f t="shared" ref="C197:V197" si="141">+(C156-C116)</f>
        <v>0</v>
      </c>
      <c r="D197" s="4">
        <f t="shared" si="141"/>
        <v>0</v>
      </c>
      <c r="E197" s="4">
        <f t="shared" si="141"/>
        <v>0</v>
      </c>
      <c r="F197" s="4">
        <f t="shared" si="141"/>
        <v>0</v>
      </c>
      <c r="G197" s="4">
        <f t="shared" si="141"/>
        <v>0</v>
      </c>
      <c r="H197" s="4">
        <f t="shared" si="141"/>
        <v>0</v>
      </c>
      <c r="I197" s="4">
        <f t="shared" ref="I197:V197" si="142">+(I156-I32)</f>
        <v>220.5725507752806</v>
      </c>
      <c r="J197" s="4">
        <f t="shared" si="142"/>
        <v>0</v>
      </c>
      <c r="K197" s="4">
        <f t="shared" si="142"/>
        <v>-393.899258993817</v>
      </c>
      <c r="L197" s="4">
        <f t="shared" si="142"/>
        <v>0</v>
      </c>
      <c r="M197" s="4">
        <f t="shared" si="142"/>
        <v>-3111.2043230305298</v>
      </c>
      <c r="N197" s="4">
        <f t="shared" si="142"/>
        <v>0</v>
      </c>
      <c r="O197" s="4">
        <f t="shared" si="142"/>
        <v>1331.9308669388595</v>
      </c>
      <c r="P197" s="4">
        <f t="shared" si="142"/>
        <v>-587.87416010195</v>
      </c>
      <c r="Q197" s="4">
        <f t="shared" si="142"/>
        <v>0</v>
      </c>
      <c r="R197" s="4">
        <f t="shared" si="142"/>
        <v>0</v>
      </c>
      <c r="S197" s="4">
        <f t="shared" si="142"/>
        <v>-164.53711861152999</v>
      </c>
      <c r="T197" s="4">
        <f t="shared" si="142"/>
        <v>3311.4071505858178</v>
      </c>
      <c r="U197" s="4">
        <f t="shared" si="142"/>
        <v>0</v>
      </c>
      <c r="V197" s="4">
        <f t="shared" si="142"/>
        <v>10951.897522633493</v>
      </c>
      <c r="X197" s="3">
        <f t="shared" si="84"/>
        <v>11.558293230195623</v>
      </c>
    </row>
    <row r="198" spans="1:24" x14ac:dyDescent="0.2">
      <c r="A198">
        <v>6004</v>
      </c>
      <c r="B198">
        <v>39</v>
      </c>
      <c r="C198" s="4">
        <f t="shared" ref="C198:V198" si="143">+(C157-C117)</f>
        <v>0</v>
      </c>
      <c r="D198" s="4">
        <f t="shared" si="143"/>
        <v>0</v>
      </c>
      <c r="E198" s="4">
        <f t="shared" si="143"/>
        <v>0</v>
      </c>
      <c r="F198" s="4">
        <f t="shared" si="143"/>
        <v>0</v>
      </c>
      <c r="G198" s="4">
        <f t="shared" si="143"/>
        <v>0</v>
      </c>
      <c r="H198" s="4">
        <f t="shared" si="143"/>
        <v>0</v>
      </c>
      <c r="I198" s="4">
        <f t="shared" ref="I198:V198" si="144">+(I157-I33)</f>
        <v>126.3024125053105</v>
      </c>
      <c r="J198" s="4">
        <f t="shared" si="144"/>
        <v>0</v>
      </c>
      <c r="K198" s="4">
        <f t="shared" si="144"/>
        <v>-395.32389711228501</v>
      </c>
      <c r="L198" s="4">
        <f t="shared" si="144"/>
        <v>0</v>
      </c>
      <c r="M198" s="4">
        <f t="shared" si="144"/>
        <v>-2569.4337471426502</v>
      </c>
      <c r="N198" s="4">
        <f t="shared" si="144"/>
        <v>0</v>
      </c>
      <c r="O198" s="4">
        <f t="shared" si="144"/>
        <v>1274.9289654867116</v>
      </c>
      <c r="P198" s="4">
        <f t="shared" si="144"/>
        <v>0</v>
      </c>
      <c r="Q198" s="4">
        <f t="shared" si="144"/>
        <v>0</v>
      </c>
      <c r="R198" s="4">
        <f t="shared" si="144"/>
        <v>0</v>
      </c>
      <c r="S198" s="4">
        <f t="shared" si="144"/>
        <v>-169.44160860321699</v>
      </c>
      <c r="T198" s="4">
        <f t="shared" si="144"/>
        <v>4111.2753033602221</v>
      </c>
      <c r="U198" s="4">
        <f t="shared" si="144"/>
        <v>0</v>
      </c>
      <c r="V198" s="4">
        <f t="shared" si="144"/>
        <v>-579.45074582470602</v>
      </c>
      <c r="X198" s="3">
        <f t="shared" si="84"/>
        <v>1.7988566826693861</v>
      </c>
    </row>
    <row r="199" spans="1:24" x14ac:dyDescent="0.2">
      <c r="A199">
        <v>6004</v>
      </c>
      <c r="B199">
        <v>40</v>
      </c>
      <c r="C199" s="4">
        <f t="shared" ref="C199:V199" si="145">+(C158-C118)</f>
        <v>0</v>
      </c>
      <c r="D199" s="4">
        <f t="shared" si="145"/>
        <v>0</v>
      </c>
      <c r="E199" s="4">
        <f t="shared" si="145"/>
        <v>0</v>
      </c>
      <c r="F199" s="4">
        <f t="shared" si="145"/>
        <v>0</v>
      </c>
      <c r="G199" s="4">
        <f t="shared" si="145"/>
        <v>0</v>
      </c>
      <c r="H199" s="4">
        <f t="shared" si="145"/>
        <v>0</v>
      </c>
      <c r="I199" s="4">
        <f t="shared" ref="I199:V199" si="146">+(I158-I34)</f>
        <v>184.21144364900098</v>
      </c>
      <c r="J199" s="4">
        <f t="shared" si="146"/>
        <v>0</v>
      </c>
      <c r="K199" s="4">
        <f t="shared" si="146"/>
        <v>-393.88110397329302</v>
      </c>
      <c r="L199" s="4">
        <f t="shared" si="146"/>
        <v>0</v>
      </c>
      <c r="M199" s="4">
        <f t="shared" si="146"/>
        <v>-1595.22551166379</v>
      </c>
      <c r="N199" s="4">
        <f t="shared" si="146"/>
        <v>0</v>
      </c>
      <c r="O199" s="4">
        <f t="shared" si="146"/>
        <v>1221.6840389281599</v>
      </c>
      <c r="P199" s="4">
        <f t="shared" si="146"/>
        <v>0</v>
      </c>
      <c r="Q199" s="4">
        <f t="shared" si="146"/>
        <v>121.21665729640063</v>
      </c>
      <c r="R199" s="4">
        <f t="shared" si="146"/>
        <v>0</v>
      </c>
      <c r="S199" s="4">
        <f t="shared" si="146"/>
        <v>-908.483122145979</v>
      </c>
      <c r="T199" s="4">
        <f t="shared" si="146"/>
        <v>4061.0925400422434</v>
      </c>
      <c r="U199" s="4">
        <f t="shared" si="146"/>
        <v>0</v>
      </c>
      <c r="V199" s="4">
        <f t="shared" si="146"/>
        <v>-567.29402309661987</v>
      </c>
      <c r="X199" s="3">
        <f t="shared" si="84"/>
        <v>2.1233209190361229</v>
      </c>
    </row>
    <row r="200" spans="1:24" x14ac:dyDescent="0.2">
      <c r="A200">
        <v>6004</v>
      </c>
      <c r="B200">
        <v>41</v>
      </c>
      <c r="C200" s="4">
        <f t="shared" ref="C200:V200" si="147">+(C159-C119)</f>
        <v>0</v>
      </c>
      <c r="D200" s="4">
        <f t="shared" si="147"/>
        <v>0</v>
      </c>
      <c r="E200" s="4">
        <f t="shared" si="147"/>
        <v>0</v>
      </c>
      <c r="F200" s="4">
        <f t="shared" si="147"/>
        <v>0</v>
      </c>
      <c r="G200" s="4">
        <f t="shared" si="147"/>
        <v>0</v>
      </c>
      <c r="H200" s="4">
        <f t="shared" si="147"/>
        <v>0</v>
      </c>
      <c r="I200" s="4">
        <f t="shared" ref="I200:V200" si="148">+(I159-I35)</f>
        <v>191.3175984474243</v>
      </c>
      <c r="J200" s="4">
        <f t="shared" si="148"/>
        <v>0</v>
      </c>
      <c r="K200" s="4">
        <f t="shared" si="148"/>
        <v>-699.15368119530694</v>
      </c>
      <c r="L200" s="4">
        <f t="shared" si="148"/>
        <v>0</v>
      </c>
      <c r="M200" s="4">
        <f t="shared" si="148"/>
        <v>-1604.0487997345299</v>
      </c>
      <c r="N200" s="4">
        <f t="shared" si="148"/>
        <v>0</v>
      </c>
      <c r="O200" s="4">
        <f t="shared" si="148"/>
        <v>1498.7357342065959</v>
      </c>
      <c r="P200" s="4">
        <f t="shared" si="148"/>
        <v>0</v>
      </c>
      <c r="Q200" s="4">
        <f t="shared" si="148"/>
        <v>0</v>
      </c>
      <c r="R200" s="4">
        <f t="shared" si="148"/>
        <v>0</v>
      </c>
      <c r="S200" s="4">
        <f t="shared" si="148"/>
        <v>-178.53724787083701</v>
      </c>
      <c r="T200" s="4">
        <f t="shared" si="148"/>
        <v>4885.9711717098571</v>
      </c>
      <c r="U200" s="4">
        <f t="shared" si="148"/>
        <v>0</v>
      </c>
      <c r="V200" s="4">
        <f t="shared" si="148"/>
        <v>-470.66639240968698</v>
      </c>
      <c r="X200" s="3">
        <f t="shared" si="84"/>
        <v>3.6236183831535165</v>
      </c>
    </row>
    <row r="201" spans="1:24" x14ac:dyDescent="0.2">
      <c r="A201">
        <v>6004</v>
      </c>
      <c r="B201">
        <v>42</v>
      </c>
      <c r="C201" s="4">
        <f t="shared" ref="C201:V201" si="149">+(C160-C120)</f>
        <v>0</v>
      </c>
      <c r="D201" s="4">
        <f t="shared" si="149"/>
        <v>0</v>
      </c>
      <c r="E201" s="4">
        <f t="shared" si="149"/>
        <v>0</v>
      </c>
      <c r="F201" s="4">
        <f t="shared" si="149"/>
        <v>0</v>
      </c>
      <c r="G201" s="4">
        <f t="shared" si="149"/>
        <v>0</v>
      </c>
      <c r="H201" s="4">
        <f t="shared" si="149"/>
        <v>0</v>
      </c>
      <c r="I201" s="4">
        <f t="shared" ref="I201:V201" si="150">+(I160-I36)</f>
        <v>198.7640869365481</v>
      </c>
      <c r="J201" s="4">
        <f t="shared" si="150"/>
        <v>0</v>
      </c>
      <c r="K201" s="4">
        <f t="shared" si="150"/>
        <v>-86.821213699032697</v>
      </c>
      <c r="L201" s="4">
        <f t="shared" si="150"/>
        <v>0</v>
      </c>
      <c r="M201" s="4">
        <f t="shared" si="150"/>
        <v>-2363.3249689939098</v>
      </c>
      <c r="N201" s="4">
        <f t="shared" si="150"/>
        <v>0</v>
      </c>
      <c r="O201" s="4">
        <f t="shared" si="150"/>
        <v>2170.4265729362105</v>
      </c>
      <c r="P201" s="4">
        <f t="shared" si="150"/>
        <v>0</v>
      </c>
      <c r="Q201" s="4">
        <f t="shared" si="150"/>
        <v>0</v>
      </c>
      <c r="R201" s="4">
        <f t="shared" si="150"/>
        <v>0</v>
      </c>
      <c r="S201" s="4">
        <f t="shared" si="150"/>
        <v>-182.53518363574099</v>
      </c>
      <c r="T201" s="4">
        <f t="shared" si="150"/>
        <v>4513.8828531205909</v>
      </c>
      <c r="U201" s="4">
        <f t="shared" si="150"/>
        <v>0</v>
      </c>
      <c r="V201" s="4">
        <f t="shared" si="150"/>
        <v>-413.00797508502404</v>
      </c>
      <c r="X201" s="3">
        <f t="shared" si="84"/>
        <v>3.8373841715796417</v>
      </c>
    </row>
    <row r="202" spans="1:24" x14ac:dyDescent="0.2">
      <c r="A202">
        <v>6004</v>
      </c>
      <c r="B202">
        <v>43</v>
      </c>
      <c r="C202" s="4">
        <f t="shared" ref="C202:V202" si="151">+(C161-C121)</f>
        <v>0</v>
      </c>
      <c r="D202" s="4">
        <f t="shared" si="151"/>
        <v>0</v>
      </c>
      <c r="E202" s="4">
        <f t="shared" si="151"/>
        <v>0</v>
      </c>
      <c r="F202" s="4">
        <f t="shared" si="151"/>
        <v>0</v>
      </c>
      <c r="G202" s="4">
        <f t="shared" si="151"/>
        <v>0</v>
      </c>
      <c r="H202" s="4">
        <f t="shared" si="151"/>
        <v>0</v>
      </c>
      <c r="I202" s="4">
        <f t="shared" ref="I202:V202" si="152">+(I161-I37)</f>
        <v>197.91396038007289</v>
      </c>
      <c r="J202" s="4">
        <f t="shared" si="152"/>
        <v>0</v>
      </c>
      <c r="K202" s="4">
        <f t="shared" si="152"/>
        <v>-394.07641715534601</v>
      </c>
      <c r="L202" s="4">
        <f t="shared" si="152"/>
        <v>0</v>
      </c>
      <c r="M202" s="4">
        <f t="shared" si="152"/>
        <v>-3268.9289323388398</v>
      </c>
      <c r="N202" s="4">
        <f t="shared" si="152"/>
        <v>0</v>
      </c>
      <c r="O202" s="4">
        <f t="shared" si="152"/>
        <v>1735.6621216159499</v>
      </c>
      <c r="P202" s="4">
        <f t="shared" si="152"/>
        <v>0</v>
      </c>
      <c r="Q202" s="4">
        <f t="shared" si="152"/>
        <v>0</v>
      </c>
      <c r="R202" s="4">
        <f t="shared" si="152"/>
        <v>0</v>
      </c>
      <c r="S202" s="4">
        <f t="shared" si="152"/>
        <v>-186.250376157245</v>
      </c>
      <c r="T202" s="4">
        <f t="shared" si="152"/>
        <v>4486.7321411909943</v>
      </c>
      <c r="U202" s="4">
        <f t="shared" si="152"/>
        <v>0</v>
      </c>
      <c r="V202" s="4">
        <f t="shared" si="152"/>
        <v>9.6393345725870176</v>
      </c>
      <c r="X202" s="3">
        <f t="shared" si="84"/>
        <v>2.5806918321081729</v>
      </c>
    </row>
    <row r="203" spans="1:24" x14ac:dyDescent="0.2">
      <c r="A203">
        <v>6004</v>
      </c>
      <c r="B203">
        <v>44</v>
      </c>
      <c r="C203" s="4">
        <f t="shared" ref="C203:V203" si="153">+(C162-C122)</f>
        <v>0</v>
      </c>
      <c r="D203" s="4">
        <f t="shared" si="153"/>
        <v>0</v>
      </c>
      <c r="E203" s="4">
        <f t="shared" si="153"/>
        <v>0</v>
      </c>
      <c r="F203" s="4">
        <f t="shared" si="153"/>
        <v>0</v>
      </c>
      <c r="G203" s="4">
        <f t="shared" si="153"/>
        <v>0</v>
      </c>
      <c r="H203" s="4">
        <f t="shared" si="153"/>
        <v>0</v>
      </c>
      <c r="I203" s="4">
        <f t="shared" ref="I203:V203" si="154">+(I162-I38)</f>
        <v>204.20909170054099</v>
      </c>
      <c r="J203" s="4">
        <f t="shared" si="154"/>
        <v>0</v>
      </c>
      <c r="K203" s="4">
        <f t="shared" si="154"/>
        <v>-797.57323017178896</v>
      </c>
      <c r="L203" s="4">
        <f t="shared" si="154"/>
        <v>0</v>
      </c>
      <c r="M203" s="4">
        <f t="shared" si="154"/>
        <v>-1714.3778748309501</v>
      </c>
      <c r="N203" s="4">
        <f t="shared" si="154"/>
        <v>0</v>
      </c>
      <c r="O203" s="4">
        <f t="shared" si="154"/>
        <v>1725.3575736447883</v>
      </c>
      <c r="P203" s="4">
        <f t="shared" si="154"/>
        <v>0</v>
      </c>
      <c r="Q203" s="4">
        <f t="shared" si="154"/>
        <v>0</v>
      </c>
      <c r="R203" s="4">
        <f t="shared" si="154"/>
        <v>0</v>
      </c>
      <c r="S203" s="4">
        <f t="shared" si="154"/>
        <v>-189.68401616663999</v>
      </c>
      <c r="T203" s="4">
        <f t="shared" si="154"/>
        <v>4555.1321468887463</v>
      </c>
      <c r="U203" s="4">
        <f t="shared" si="154"/>
        <v>0</v>
      </c>
      <c r="V203" s="4">
        <f t="shared" si="154"/>
        <v>-488.41709938206202</v>
      </c>
      <c r="X203" s="3">
        <f t="shared" si="84"/>
        <v>3.2946465916826346</v>
      </c>
    </row>
    <row r="204" spans="1:24" x14ac:dyDescent="0.2">
      <c r="A204">
        <v>6004</v>
      </c>
      <c r="B204">
        <v>45</v>
      </c>
      <c r="C204" s="4">
        <f t="shared" ref="C204:V204" si="155">+(C163-C123)</f>
        <v>0</v>
      </c>
      <c r="D204" s="4">
        <f t="shared" si="155"/>
        <v>0</v>
      </c>
      <c r="E204" s="4">
        <f t="shared" si="155"/>
        <v>0</v>
      </c>
      <c r="F204" s="4">
        <f t="shared" si="155"/>
        <v>0</v>
      </c>
      <c r="G204" s="4">
        <f t="shared" si="155"/>
        <v>0</v>
      </c>
      <c r="H204" s="4">
        <f t="shared" si="155"/>
        <v>0</v>
      </c>
      <c r="I204" s="4">
        <f t="shared" ref="I204:V204" si="156">+(I163-I39)</f>
        <v>-25.387965424052702</v>
      </c>
      <c r="J204" s="4">
        <f t="shared" si="156"/>
        <v>0</v>
      </c>
      <c r="K204" s="4">
        <f t="shared" si="156"/>
        <v>0</v>
      </c>
      <c r="L204" s="4">
        <f t="shared" si="156"/>
        <v>0</v>
      </c>
      <c r="M204" s="4">
        <f t="shared" si="156"/>
        <v>-2660.9920444089798</v>
      </c>
      <c r="N204" s="4">
        <f t="shared" si="156"/>
        <v>0</v>
      </c>
      <c r="O204" s="4">
        <f t="shared" si="156"/>
        <v>5599.709611456753</v>
      </c>
      <c r="P204" s="4">
        <f t="shared" si="156"/>
        <v>0</v>
      </c>
      <c r="Q204" s="4">
        <f t="shared" si="156"/>
        <v>0</v>
      </c>
      <c r="R204" s="4">
        <f t="shared" si="156"/>
        <v>0</v>
      </c>
      <c r="S204" s="4">
        <f t="shared" si="156"/>
        <v>-192.894424424774</v>
      </c>
      <c r="T204" s="4">
        <f t="shared" si="156"/>
        <v>-774.23488426127301</v>
      </c>
      <c r="U204" s="4">
        <f t="shared" si="156"/>
        <v>0</v>
      </c>
      <c r="V204" s="4">
        <f t="shared" si="156"/>
        <v>-1347.7548609514699</v>
      </c>
      <c r="X204" s="3">
        <f t="shared" si="84"/>
        <v>0.59844543198620348</v>
      </c>
    </row>
    <row r="205" spans="1:24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X205" s="2"/>
    </row>
    <row r="206" spans="1:24" x14ac:dyDescent="0.2">
      <c r="C206" s="4">
        <f t="shared" ref="C206" si="157">+SUM(C167:C204)</f>
        <v>0</v>
      </c>
      <c r="D206" s="4">
        <f t="shared" ref="D206" si="158">+SUM(D167:D204)</f>
        <v>0</v>
      </c>
      <c r="E206" s="4">
        <f t="shared" ref="E206:H206" si="159">+SUM(E167:E204)</f>
        <v>0</v>
      </c>
      <c r="F206" s="4">
        <f t="shared" si="159"/>
        <v>0</v>
      </c>
      <c r="G206" s="4">
        <f t="shared" si="159"/>
        <v>0</v>
      </c>
      <c r="H206" s="4">
        <f t="shared" si="159"/>
        <v>0</v>
      </c>
      <c r="I206" s="4">
        <f>+SUM(I167:I204)</f>
        <v>3590.9190155184315</v>
      </c>
      <c r="J206" s="4">
        <f t="shared" ref="J206:L206" si="160">+SUM(J167:J204)</f>
        <v>0</v>
      </c>
      <c r="K206" s="4">
        <f t="shared" si="160"/>
        <v>-14826.597546355764</v>
      </c>
      <c r="L206" s="4">
        <f t="shared" si="160"/>
        <v>0</v>
      </c>
      <c r="M206" s="4">
        <f>+SUM(M167:M204)</f>
        <v>-58925.863783762623</v>
      </c>
      <c r="N206" s="4">
        <f t="shared" ref="N206:V206" si="161">+SUM(N167:N204)</f>
        <v>0</v>
      </c>
      <c r="O206" s="4">
        <f t="shared" si="161"/>
        <v>51177.907780152236</v>
      </c>
      <c r="P206" s="4">
        <f t="shared" si="161"/>
        <v>-11702.006287334811</v>
      </c>
      <c r="Q206" s="4">
        <f t="shared" si="161"/>
        <v>2602.0559505734682</v>
      </c>
      <c r="R206" s="4">
        <f t="shared" si="161"/>
        <v>0</v>
      </c>
      <c r="S206" s="4">
        <f t="shared" si="161"/>
        <v>-15234.410398518938</v>
      </c>
      <c r="T206" s="4">
        <f t="shared" si="161"/>
        <v>76532.821620969262</v>
      </c>
      <c r="U206" s="4">
        <f t="shared" si="161"/>
        <v>-311.15301856044545</v>
      </c>
      <c r="V206" s="4">
        <f t="shared" si="161"/>
        <v>49050.687234399353</v>
      </c>
      <c r="W206" s="4"/>
      <c r="X206" s="3">
        <f>+SUM(X167:X204)</f>
        <v>81.954360567080144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B368-9C17-B84D-BF39-5A668B77225B}">
  <dimension ref="A1:X206"/>
  <sheetViews>
    <sheetView zoomScale="85" zoomScaleNormal="60" workbookViewId="0">
      <pane xSplit="1" ySplit="1" topLeftCell="B114" activePane="bottomRight" state="frozen"/>
      <selection pane="topRight" activeCell="B1" sqref="B1"/>
      <selection pane="bottomLeft" activeCell="A2" sqref="A2"/>
      <selection pane="bottomRight" activeCell="N206" sqref="N206"/>
    </sheetView>
  </sheetViews>
  <sheetFormatPr baseColWidth="10" defaultRowHeight="16" x14ac:dyDescent="0.2"/>
  <cols>
    <col min="3" max="8" width="11" bestFit="1" customWidth="1"/>
    <col min="9" max="9" width="13.5" bestFit="1" customWidth="1"/>
    <col min="10" max="10" width="11" bestFit="1" customWidth="1"/>
    <col min="11" max="11" width="14" bestFit="1" customWidth="1"/>
    <col min="12" max="12" width="11" bestFit="1" customWidth="1"/>
    <col min="13" max="13" width="14" bestFit="1" customWidth="1"/>
    <col min="14" max="14" width="16.1640625" bestFit="1" customWidth="1"/>
    <col min="15" max="15" width="14.6640625" bestFit="1" customWidth="1"/>
    <col min="16" max="16" width="14" bestFit="1" customWidth="1"/>
    <col min="17" max="17" width="13.5" bestFit="1" customWidth="1"/>
    <col min="18" max="18" width="11" bestFit="1" customWidth="1"/>
    <col min="19" max="19" width="14" bestFit="1" customWidth="1"/>
    <col min="20" max="20" width="14.6640625" bestFit="1" customWidth="1"/>
    <col min="21" max="21" width="12.83203125" bestFit="1" customWidth="1"/>
    <col min="22" max="22" width="14.6640625" bestFit="1" customWidth="1"/>
  </cols>
  <sheetData>
    <row r="1" spans="1:24" ht="114" customHeight="1" x14ac:dyDescent="0.2">
      <c r="A1" s="7" t="s">
        <v>1</v>
      </c>
      <c r="B1" s="7" t="s">
        <v>0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  <c r="T1" s="9" t="s">
        <v>39</v>
      </c>
      <c r="U1" s="9" t="s">
        <v>40</v>
      </c>
      <c r="V1" s="9" t="s">
        <v>41</v>
      </c>
    </row>
    <row r="2" spans="1:24" x14ac:dyDescent="0.2">
      <c r="A2">
        <v>6003</v>
      </c>
      <c r="B2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0.84460911164127905</v>
      </c>
      <c r="J2">
        <v>19.177500187377401</v>
      </c>
      <c r="K2">
        <v>814.12869378820199</v>
      </c>
      <c r="L2">
        <v>0</v>
      </c>
      <c r="M2">
        <v>3116.6736708426502</v>
      </c>
      <c r="N2">
        <v>0</v>
      </c>
      <c r="O2">
        <v>204.83624376330101</v>
      </c>
      <c r="P2">
        <v>925.72810593367296</v>
      </c>
      <c r="Q2">
        <v>223.90245882803001</v>
      </c>
      <c r="R2">
        <v>0</v>
      </c>
      <c r="S2">
        <v>1772.67431595319</v>
      </c>
      <c r="T2">
        <v>111.453737883367</v>
      </c>
      <c r="U2">
        <v>1E-3</v>
      </c>
      <c r="V2">
        <v>287.67333234313799</v>
      </c>
      <c r="X2" s="4">
        <f>+SUM(C2:V2)</f>
        <v>7477.0936686345694</v>
      </c>
    </row>
    <row r="3" spans="1:24" x14ac:dyDescent="0.2">
      <c r="A3">
        <v>6003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0.85419239258086899</v>
      </c>
      <c r="J3">
        <v>17.803062031316099</v>
      </c>
      <c r="K3">
        <v>631.00828593783399</v>
      </c>
      <c r="L3">
        <v>0</v>
      </c>
      <c r="M3">
        <v>2962.8961543927899</v>
      </c>
      <c r="N3">
        <v>0</v>
      </c>
      <c r="O3">
        <v>202.01262229376701</v>
      </c>
      <c r="P3">
        <v>910.69299848525998</v>
      </c>
      <c r="Q3">
        <v>222.43414824856001</v>
      </c>
      <c r="R3">
        <v>0</v>
      </c>
      <c r="S3">
        <v>2527.2184058615499</v>
      </c>
      <c r="T3">
        <v>119.899179651987</v>
      </c>
      <c r="U3">
        <v>1E-3</v>
      </c>
      <c r="V3">
        <v>352.09085595232301</v>
      </c>
      <c r="X3" s="4">
        <f t="shared" ref="X3:X39" si="0">+SUM(C3:V3)</f>
        <v>7946.910905247968</v>
      </c>
    </row>
    <row r="4" spans="1:24" x14ac:dyDescent="0.2">
      <c r="A4">
        <v>6003</v>
      </c>
      <c r="B4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0.86229974264404696</v>
      </c>
      <c r="J4">
        <v>16.912008990252001</v>
      </c>
      <c r="K4">
        <v>632.97299061853005</v>
      </c>
      <c r="L4">
        <v>0</v>
      </c>
      <c r="M4">
        <v>3389.1000984082998</v>
      </c>
      <c r="N4">
        <v>0</v>
      </c>
      <c r="O4">
        <v>197.622223215752</v>
      </c>
      <c r="P4">
        <v>890.98365806386698</v>
      </c>
      <c r="Q4">
        <v>120.572740913239</v>
      </c>
      <c r="R4">
        <v>0</v>
      </c>
      <c r="S4">
        <v>2544.5595271020602</v>
      </c>
      <c r="T4">
        <v>118.04528265177601</v>
      </c>
      <c r="U4">
        <v>1E-3</v>
      </c>
      <c r="V4">
        <v>346.646780586435</v>
      </c>
      <c r="X4" s="4">
        <f t="shared" si="0"/>
        <v>8258.2786102928549</v>
      </c>
    </row>
    <row r="5" spans="1:24" x14ac:dyDescent="0.2">
      <c r="A5">
        <v>6003</v>
      </c>
      <c r="B5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1.5947869187525501</v>
      </c>
      <c r="J5">
        <v>110.327948763442</v>
      </c>
      <c r="K5">
        <v>633.28654155936295</v>
      </c>
      <c r="L5">
        <v>0</v>
      </c>
      <c r="M5">
        <v>3650.9992230361399</v>
      </c>
      <c r="N5">
        <v>0</v>
      </c>
      <c r="O5">
        <v>85.827835926639494</v>
      </c>
      <c r="P5">
        <v>865.81293829133404</v>
      </c>
      <c r="Q5">
        <v>114.805833393649</v>
      </c>
      <c r="R5">
        <v>0</v>
      </c>
      <c r="S5">
        <v>2547.32702948218</v>
      </c>
      <c r="T5">
        <v>115.755708518153</v>
      </c>
      <c r="U5">
        <v>1E-3</v>
      </c>
      <c r="V5">
        <v>401.64134252485798</v>
      </c>
      <c r="X5" s="4">
        <f t="shared" si="0"/>
        <v>8527.3801884145123</v>
      </c>
    </row>
    <row r="6" spans="1:24" x14ac:dyDescent="0.2">
      <c r="A6">
        <v>6003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2.3489354403846399</v>
      </c>
      <c r="J6">
        <v>190.42152879373199</v>
      </c>
      <c r="K6">
        <v>633.89712005616195</v>
      </c>
      <c r="L6">
        <v>0</v>
      </c>
      <c r="M6">
        <v>4029.8438923585099</v>
      </c>
      <c r="N6">
        <v>0</v>
      </c>
      <c r="O6">
        <v>69.213742625909106</v>
      </c>
      <c r="P6">
        <v>846.73484628895903</v>
      </c>
      <c r="Q6">
        <v>114.805833393649</v>
      </c>
      <c r="R6">
        <v>0</v>
      </c>
      <c r="S6">
        <v>2552.7161934842302</v>
      </c>
      <c r="T6">
        <v>113.111844480039</v>
      </c>
      <c r="U6">
        <v>1E-3</v>
      </c>
      <c r="V6">
        <v>383.23183812055299</v>
      </c>
      <c r="X6" s="4">
        <f t="shared" si="0"/>
        <v>8936.3267750421292</v>
      </c>
    </row>
    <row r="7" spans="1:24" x14ac:dyDescent="0.2">
      <c r="A7">
        <v>6003</v>
      </c>
      <c r="B7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3.1244823711743699</v>
      </c>
      <c r="J7">
        <v>12.3744733265018</v>
      </c>
      <c r="K7">
        <v>634.59508581432704</v>
      </c>
      <c r="L7">
        <v>0</v>
      </c>
      <c r="M7">
        <v>4145.64644487649</v>
      </c>
      <c r="N7">
        <v>0</v>
      </c>
      <c r="O7">
        <v>67.918512083637097</v>
      </c>
      <c r="P7">
        <v>828.092498548923</v>
      </c>
      <c r="Q7">
        <v>114.805833393649</v>
      </c>
      <c r="R7">
        <v>0</v>
      </c>
      <c r="S7">
        <v>2519.5760213334001</v>
      </c>
      <c r="T7">
        <v>110.821579064974</v>
      </c>
      <c r="U7">
        <v>1E-3</v>
      </c>
      <c r="V7">
        <v>413.96523124420298</v>
      </c>
      <c r="X7" s="4">
        <f t="shared" si="0"/>
        <v>8850.9211620572787</v>
      </c>
    </row>
    <row r="8" spans="1:24" x14ac:dyDescent="0.2">
      <c r="A8">
        <v>6003</v>
      </c>
      <c r="B8">
        <v>14</v>
      </c>
      <c r="C8">
        <v>0</v>
      </c>
      <c r="D8">
        <v>0</v>
      </c>
      <c r="E8">
        <v>0</v>
      </c>
      <c r="F8">
        <v>37.436613225352502</v>
      </c>
      <c r="G8">
        <v>0</v>
      </c>
      <c r="H8">
        <v>0</v>
      </c>
      <c r="I8">
        <v>3.92811951368164</v>
      </c>
      <c r="J8">
        <v>10.423323092292801</v>
      </c>
      <c r="K8">
        <v>637.71015833671697</v>
      </c>
      <c r="L8">
        <v>0</v>
      </c>
      <c r="M8">
        <v>3974.8444259750599</v>
      </c>
      <c r="N8">
        <v>0</v>
      </c>
      <c r="O8">
        <v>67.258393839579895</v>
      </c>
      <c r="P8">
        <v>809.87594264191603</v>
      </c>
      <c r="Q8">
        <v>114.805833393649</v>
      </c>
      <c r="R8">
        <v>0</v>
      </c>
      <c r="S8">
        <v>2547.0706625456401</v>
      </c>
      <c r="T8">
        <v>109.56915135328801</v>
      </c>
      <c r="U8">
        <v>1E-3</v>
      </c>
      <c r="V8">
        <v>407.318748228277</v>
      </c>
      <c r="X8" s="4">
        <f t="shared" si="0"/>
        <v>8720.2423721454543</v>
      </c>
    </row>
    <row r="9" spans="1:24" x14ac:dyDescent="0.2">
      <c r="A9">
        <v>6003</v>
      </c>
      <c r="B9">
        <v>15</v>
      </c>
      <c r="C9">
        <v>0</v>
      </c>
      <c r="D9">
        <v>0</v>
      </c>
      <c r="E9">
        <v>0</v>
      </c>
      <c r="F9">
        <v>74.388636633166101</v>
      </c>
      <c r="G9">
        <v>0</v>
      </c>
      <c r="H9">
        <v>0</v>
      </c>
      <c r="I9">
        <v>4.7665638748546302</v>
      </c>
      <c r="J9">
        <v>8.2431505269302505</v>
      </c>
      <c r="K9">
        <v>641.12518033039805</v>
      </c>
      <c r="L9">
        <v>0</v>
      </c>
      <c r="M9">
        <v>3882.1520771993301</v>
      </c>
      <c r="N9">
        <v>0</v>
      </c>
      <c r="O9">
        <v>66.671909308112106</v>
      </c>
      <c r="P9">
        <v>792.07545343800302</v>
      </c>
      <c r="Q9">
        <v>114.805833393649</v>
      </c>
      <c r="R9">
        <v>0</v>
      </c>
      <c r="S9">
        <v>2577.2127551528602</v>
      </c>
      <c r="T9">
        <v>111.657674032312</v>
      </c>
      <c r="U9">
        <v>1E-3</v>
      </c>
      <c r="V9">
        <v>392.85721493761901</v>
      </c>
      <c r="X9" s="4">
        <f t="shared" si="0"/>
        <v>8665.9574488272356</v>
      </c>
    </row>
    <row r="10" spans="1:24" x14ac:dyDescent="0.2">
      <c r="A10">
        <v>6003</v>
      </c>
      <c r="B10">
        <v>16</v>
      </c>
      <c r="C10">
        <v>0</v>
      </c>
      <c r="D10">
        <v>0</v>
      </c>
      <c r="E10">
        <v>0</v>
      </c>
      <c r="F10">
        <v>110.901155786489</v>
      </c>
      <c r="G10">
        <v>0</v>
      </c>
      <c r="H10">
        <v>0</v>
      </c>
      <c r="I10">
        <v>5.6455099927795596</v>
      </c>
      <c r="J10">
        <v>7.6284696234662697</v>
      </c>
      <c r="K10">
        <v>644.74293619809498</v>
      </c>
      <c r="L10">
        <v>0</v>
      </c>
      <c r="M10">
        <v>3905.05476800115</v>
      </c>
      <c r="N10">
        <v>0</v>
      </c>
      <c r="O10">
        <v>66.131272628921593</v>
      </c>
      <c r="P10">
        <v>774.68152805552302</v>
      </c>
      <c r="Q10">
        <v>114.805833393649</v>
      </c>
      <c r="R10">
        <v>0</v>
      </c>
      <c r="S10">
        <v>2597.2972622491802</v>
      </c>
      <c r="T10">
        <v>113.903882510671</v>
      </c>
      <c r="U10">
        <v>1E-3</v>
      </c>
      <c r="V10">
        <v>378.50776438678099</v>
      </c>
      <c r="X10" s="4">
        <f t="shared" si="0"/>
        <v>8719.3013828267049</v>
      </c>
    </row>
    <row r="11" spans="1:24" x14ac:dyDescent="0.2">
      <c r="A11">
        <v>6003</v>
      </c>
      <c r="B11">
        <v>17</v>
      </c>
      <c r="C11">
        <v>0</v>
      </c>
      <c r="D11">
        <v>0</v>
      </c>
      <c r="E11">
        <v>0</v>
      </c>
      <c r="F11">
        <v>147.017305786912</v>
      </c>
      <c r="G11">
        <v>0</v>
      </c>
      <c r="H11">
        <v>0</v>
      </c>
      <c r="I11">
        <v>6.57425472490457</v>
      </c>
      <c r="J11">
        <v>6.9643068955528502</v>
      </c>
      <c r="K11">
        <v>648.66703303249699</v>
      </c>
      <c r="L11">
        <v>0</v>
      </c>
      <c r="M11">
        <v>3924.1254936976402</v>
      </c>
      <c r="N11">
        <v>0</v>
      </c>
      <c r="O11">
        <v>65.658335118618197</v>
      </c>
      <c r="P11">
        <v>757.684880304883</v>
      </c>
      <c r="Q11">
        <v>114.805833393649</v>
      </c>
      <c r="R11">
        <v>0</v>
      </c>
      <c r="S11">
        <v>2580.53042642123</v>
      </c>
      <c r="T11">
        <v>114.70588676094</v>
      </c>
      <c r="U11">
        <v>1E-3</v>
      </c>
      <c r="V11">
        <v>368.58782124929598</v>
      </c>
      <c r="X11" s="4">
        <f t="shared" si="0"/>
        <v>8735.3225773861232</v>
      </c>
    </row>
    <row r="12" spans="1:24" x14ac:dyDescent="0.2">
      <c r="A12">
        <v>6003</v>
      </c>
      <c r="B12">
        <v>18</v>
      </c>
      <c r="C12">
        <v>0</v>
      </c>
      <c r="D12">
        <v>0</v>
      </c>
      <c r="E12">
        <v>0</v>
      </c>
      <c r="F12">
        <v>182.77832198927999</v>
      </c>
      <c r="G12">
        <v>0</v>
      </c>
      <c r="H12">
        <v>0</v>
      </c>
      <c r="I12">
        <v>7.56120242109239</v>
      </c>
      <c r="J12">
        <v>4.38023132703945</v>
      </c>
      <c r="K12">
        <v>652.91843966411795</v>
      </c>
      <c r="L12">
        <v>0</v>
      </c>
      <c r="M12">
        <v>4013.96792542099</v>
      </c>
      <c r="N12">
        <v>0</v>
      </c>
      <c r="O12">
        <v>65.253886244727994</v>
      </c>
      <c r="P12">
        <v>741.07643664768204</v>
      </c>
      <c r="Q12">
        <v>114.805833393649</v>
      </c>
      <c r="R12">
        <v>0</v>
      </c>
      <c r="S12">
        <v>2612.5473439318298</v>
      </c>
      <c r="T12">
        <v>119.579398679447</v>
      </c>
      <c r="U12">
        <v>1E-3</v>
      </c>
      <c r="V12">
        <v>352.09569982320801</v>
      </c>
      <c r="X12" s="4">
        <f t="shared" si="0"/>
        <v>8866.9657195430646</v>
      </c>
    </row>
    <row r="13" spans="1:24" x14ac:dyDescent="0.2">
      <c r="A13">
        <v>6003</v>
      </c>
      <c r="B13">
        <v>19</v>
      </c>
      <c r="C13">
        <v>0</v>
      </c>
      <c r="D13">
        <v>0</v>
      </c>
      <c r="E13">
        <v>0</v>
      </c>
      <c r="F13">
        <v>218.223578960276</v>
      </c>
      <c r="G13">
        <v>0</v>
      </c>
      <c r="H13">
        <v>0</v>
      </c>
      <c r="I13">
        <v>8.6149193399782806</v>
      </c>
      <c r="J13">
        <v>4.23209472400168</v>
      </c>
      <c r="K13">
        <v>657.49234834133597</v>
      </c>
      <c r="L13">
        <v>0</v>
      </c>
      <c r="M13">
        <v>4117.1170858174701</v>
      </c>
      <c r="N13">
        <v>0</v>
      </c>
      <c r="O13">
        <v>64.912657865410495</v>
      </c>
      <c r="P13">
        <v>724.84733013539403</v>
      </c>
      <c r="Q13">
        <v>114.805833393649</v>
      </c>
      <c r="R13">
        <v>0</v>
      </c>
      <c r="S13">
        <v>2652.9181465740498</v>
      </c>
      <c r="T13">
        <v>117.486070767369</v>
      </c>
      <c r="U13">
        <v>1E-3</v>
      </c>
      <c r="V13">
        <v>350.97155358777701</v>
      </c>
      <c r="X13" s="4">
        <f t="shared" si="0"/>
        <v>9031.6226195067102</v>
      </c>
    </row>
    <row r="14" spans="1:24" x14ac:dyDescent="0.2">
      <c r="A14">
        <v>6003</v>
      </c>
      <c r="B14">
        <v>20</v>
      </c>
      <c r="C14">
        <v>0</v>
      </c>
      <c r="D14">
        <v>0</v>
      </c>
      <c r="E14">
        <v>0</v>
      </c>
      <c r="F14">
        <v>253.390616190462</v>
      </c>
      <c r="G14">
        <v>0</v>
      </c>
      <c r="H14">
        <v>0</v>
      </c>
      <c r="I14">
        <v>9.7438751602688694</v>
      </c>
      <c r="J14">
        <v>4.13543354585582</v>
      </c>
      <c r="K14">
        <v>662.43185146550798</v>
      </c>
      <c r="L14">
        <v>0</v>
      </c>
      <c r="M14">
        <v>4281.0004638464898</v>
      </c>
      <c r="N14">
        <v>0</v>
      </c>
      <c r="O14">
        <v>64.640285116577999</v>
      </c>
      <c r="P14">
        <v>708.17026941172196</v>
      </c>
      <c r="Q14">
        <v>114.805833393649</v>
      </c>
      <c r="R14">
        <v>0</v>
      </c>
      <c r="S14">
        <v>2696.5158044743898</v>
      </c>
      <c r="T14">
        <v>115.26227130594199</v>
      </c>
      <c r="U14">
        <v>1E-3</v>
      </c>
      <c r="V14">
        <v>350.86858388051002</v>
      </c>
      <c r="X14" s="4">
        <f t="shared" si="0"/>
        <v>9260.9662877913761</v>
      </c>
    </row>
    <row r="15" spans="1:24" x14ac:dyDescent="0.2">
      <c r="A15">
        <v>6003</v>
      </c>
      <c r="B15">
        <v>21</v>
      </c>
      <c r="C15">
        <v>0</v>
      </c>
      <c r="D15">
        <v>0</v>
      </c>
      <c r="E15">
        <v>0</v>
      </c>
      <c r="F15">
        <v>288.31515139878098</v>
      </c>
      <c r="G15">
        <v>0</v>
      </c>
      <c r="H15">
        <v>0</v>
      </c>
      <c r="I15">
        <v>10.9532366410596</v>
      </c>
      <c r="J15">
        <v>3.5400321525097702</v>
      </c>
      <c r="K15">
        <v>667.71551950208504</v>
      </c>
      <c r="L15">
        <v>0</v>
      </c>
      <c r="M15">
        <v>4390.1203630132604</v>
      </c>
      <c r="N15">
        <v>0</v>
      </c>
      <c r="O15">
        <v>64.427783547315101</v>
      </c>
      <c r="P15">
        <v>692.69274099181405</v>
      </c>
      <c r="Q15">
        <v>114.805833393649</v>
      </c>
      <c r="R15">
        <v>0</v>
      </c>
      <c r="S15">
        <v>2727.68156273045</v>
      </c>
      <c r="T15">
        <v>112.629677390494</v>
      </c>
      <c r="U15">
        <v>1E-3</v>
      </c>
      <c r="V15">
        <v>352.37754959548801</v>
      </c>
      <c r="X15" s="4">
        <f t="shared" si="0"/>
        <v>9425.2604503569073</v>
      </c>
    </row>
    <row r="16" spans="1:24" x14ac:dyDescent="0.2">
      <c r="A16">
        <v>6003</v>
      </c>
      <c r="B16">
        <v>22</v>
      </c>
      <c r="C16">
        <v>0</v>
      </c>
      <c r="D16">
        <v>0</v>
      </c>
      <c r="E16">
        <v>0</v>
      </c>
      <c r="F16">
        <v>323.031080703226</v>
      </c>
      <c r="G16">
        <v>0</v>
      </c>
      <c r="H16">
        <v>0</v>
      </c>
      <c r="I16">
        <v>12.252314931888399</v>
      </c>
      <c r="J16">
        <v>3.4591777053213901</v>
      </c>
      <c r="K16">
        <v>673.430994782266</v>
      </c>
      <c r="L16">
        <v>0</v>
      </c>
      <c r="M16">
        <v>4539.7371577574704</v>
      </c>
      <c r="N16">
        <v>0</v>
      </c>
      <c r="O16">
        <v>64.289933832557594</v>
      </c>
      <c r="P16">
        <v>666.10437484661099</v>
      </c>
      <c r="Q16">
        <v>114.805833393649</v>
      </c>
      <c r="R16">
        <v>0</v>
      </c>
      <c r="S16">
        <v>2778.1282027545599</v>
      </c>
      <c r="T16">
        <v>110.057211998547</v>
      </c>
      <c r="U16">
        <v>1E-3</v>
      </c>
      <c r="V16">
        <v>353.98225881618299</v>
      </c>
      <c r="X16" s="4">
        <f t="shared" si="0"/>
        <v>9639.279541522279</v>
      </c>
    </row>
    <row r="17" spans="1:24" x14ac:dyDescent="0.2">
      <c r="A17">
        <v>6003</v>
      </c>
      <c r="B17">
        <v>23</v>
      </c>
      <c r="C17">
        <v>0</v>
      </c>
      <c r="D17">
        <v>0</v>
      </c>
      <c r="E17">
        <v>0</v>
      </c>
      <c r="F17">
        <v>357.57046428957102</v>
      </c>
      <c r="G17">
        <v>0</v>
      </c>
      <c r="H17">
        <v>0</v>
      </c>
      <c r="I17">
        <v>13.647615309926501</v>
      </c>
      <c r="J17">
        <v>2.8460393493501299</v>
      </c>
      <c r="K17">
        <v>583.08800505321005</v>
      </c>
      <c r="L17">
        <v>0</v>
      </c>
      <c r="M17">
        <v>4707.05154598845</v>
      </c>
      <c r="N17">
        <v>0</v>
      </c>
      <c r="O17">
        <v>64.227676372747993</v>
      </c>
      <c r="P17">
        <v>651.58763288479895</v>
      </c>
      <c r="Q17">
        <v>114.805833393649</v>
      </c>
      <c r="R17">
        <v>0</v>
      </c>
      <c r="S17">
        <v>2833.1123480094602</v>
      </c>
      <c r="T17">
        <v>107.543501793739</v>
      </c>
      <c r="U17">
        <v>1E-3</v>
      </c>
      <c r="V17">
        <v>356.15975170282798</v>
      </c>
      <c r="X17" s="4">
        <f t="shared" si="0"/>
        <v>9791.6414141477308</v>
      </c>
    </row>
    <row r="18" spans="1:24" x14ac:dyDescent="0.2">
      <c r="A18">
        <v>6003</v>
      </c>
      <c r="B18">
        <v>24</v>
      </c>
      <c r="C18">
        <v>0</v>
      </c>
      <c r="D18">
        <v>0</v>
      </c>
      <c r="E18">
        <v>0</v>
      </c>
      <c r="F18">
        <v>391.93951663898503</v>
      </c>
      <c r="G18">
        <v>0</v>
      </c>
      <c r="H18">
        <v>0</v>
      </c>
      <c r="I18">
        <v>15.1446973407506</v>
      </c>
      <c r="J18">
        <v>2.1344643991660699</v>
      </c>
      <c r="K18">
        <v>589.72784256732098</v>
      </c>
      <c r="L18">
        <v>0</v>
      </c>
      <c r="M18">
        <v>4791.8056640014402</v>
      </c>
      <c r="N18">
        <v>0</v>
      </c>
      <c r="O18">
        <v>64.237136632387603</v>
      </c>
      <c r="P18">
        <v>637.40245357007996</v>
      </c>
      <c r="Q18">
        <v>114.805833393649</v>
      </c>
      <c r="R18">
        <v>0</v>
      </c>
      <c r="S18">
        <v>2893.95953234124</v>
      </c>
      <c r="T18">
        <v>105.087204828312</v>
      </c>
      <c r="U18">
        <v>1E-3</v>
      </c>
      <c r="V18">
        <v>359.38476644943302</v>
      </c>
      <c r="X18" s="4">
        <f t="shared" si="0"/>
        <v>9965.6301121627657</v>
      </c>
    </row>
    <row r="19" spans="1:24" x14ac:dyDescent="0.2">
      <c r="A19">
        <v>6003</v>
      </c>
      <c r="B19">
        <v>25</v>
      </c>
      <c r="C19">
        <v>0</v>
      </c>
      <c r="D19">
        <v>0</v>
      </c>
      <c r="E19">
        <v>0</v>
      </c>
      <c r="F19">
        <v>426.11007360365801</v>
      </c>
      <c r="G19">
        <v>0</v>
      </c>
      <c r="H19">
        <v>0</v>
      </c>
      <c r="I19">
        <v>16.7480385331747</v>
      </c>
      <c r="J19">
        <v>2.2632098267453098</v>
      </c>
      <c r="K19">
        <v>439.61700486051501</v>
      </c>
      <c r="L19">
        <v>0</v>
      </c>
      <c r="M19">
        <v>4941.3206445006799</v>
      </c>
      <c r="N19">
        <v>0</v>
      </c>
      <c r="O19">
        <v>64.309644587210698</v>
      </c>
      <c r="P19">
        <v>658.33980929149004</v>
      </c>
      <c r="Q19">
        <v>114.805833393649</v>
      </c>
      <c r="R19">
        <v>0</v>
      </c>
      <c r="S19">
        <v>2983.7097599765698</v>
      </c>
      <c r="T19">
        <v>102.68700974654</v>
      </c>
      <c r="U19">
        <v>1E-3</v>
      </c>
      <c r="V19">
        <v>367.44110716831801</v>
      </c>
      <c r="X19" s="4">
        <f t="shared" si="0"/>
        <v>10117.353135488549</v>
      </c>
    </row>
    <row r="20" spans="1:24" x14ac:dyDescent="0.2">
      <c r="A20">
        <v>6003</v>
      </c>
      <c r="B20">
        <v>26</v>
      </c>
      <c r="C20">
        <v>0</v>
      </c>
      <c r="D20">
        <v>0</v>
      </c>
      <c r="E20">
        <v>0</v>
      </c>
      <c r="F20">
        <v>459.89296433447902</v>
      </c>
      <c r="G20">
        <v>0</v>
      </c>
      <c r="H20">
        <v>0</v>
      </c>
      <c r="I20">
        <v>18.455382965988299</v>
      </c>
      <c r="J20">
        <v>2.2333927654269399</v>
      </c>
      <c r="K20">
        <v>449.61101122546</v>
      </c>
      <c r="L20">
        <v>0</v>
      </c>
      <c r="M20">
        <v>5094.9333945183698</v>
      </c>
      <c r="N20">
        <v>0</v>
      </c>
      <c r="O20">
        <v>64.402189467512301</v>
      </c>
      <c r="P20">
        <v>659.27508675140496</v>
      </c>
      <c r="Q20">
        <v>114.805833393649</v>
      </c>
      <c r="R20">
        <v>0</v>
      </c>
      <c r="S20">
        <v>3049.8147809654802</v>
      </c>
      <c r="T20">
        <v>102.622745652012</v>
      </c>
      <c r="U20">
        <v>1E-3</v>
      </c>
      <c r="V20">
        <v>359.04874068846402</v>
      </c>
      <c r="X20" s="4">
        <f t="shared" si="0"/>
        <v>10375.096522728247</v>
      </c>
    </row>
    <row r="21" spans="1:24" x14ac:dyDescent="0.2">
      <c r="A21">
        <v>6003</v>
      </c>
      <c r="B21">
        <v>27</v>
      </c>
      <c r="C21">
        <v>0</v>
      </c>
      <c r="D21">
        <v>0</v>
      </c>
      <c r="E21">
        <v>0</v>
      </c>
      <c r="F21">
        <v>493.21852449538102</v>
      </c>
      <c r="G21">
        <v>0</v>
      </c>
      <c r="H21">
        <v>0</v>
      </c>
      <c r="I21">
        <v>20.2713413153818</v>
      </c>
      <c r="J21">
        <v>1.8379516814330601</v>
      </c>
      <c r="K21">
        <v>459.96970922956598</v>
      </c>
      <c r="L21">
        <v>0</v>
      </c>
      <c r="M21">
        <v>5254.5488174906404</v>
      </c>
      <c r="N21">
        <v>0</v>
      </c>
      <c r="O21">
        <v>64.516980554324306</v>
      </c>
      <c r="P21">
        <v>665.81065718192599</v>
      </c>
      <c r="Q21">
        <v>114.805833393649</v>
      </c>
      <c r="R21">
        <v>0</v>
      </c>
      <c r="S21">
        <v>3118.29967895051</v>
      </c>
      <c r="T21">
        <v>102.58918758704699</v>
      </c>
      <c r="U21">
        <v>1E-3</v>
      </c>
      <c r="V21">
        <v>351.94478506008699</v>
      </c>
      <c r="X21" s="4">
        <f t="shared" si="0"/>
        <v>10647.814466939946</v>
      </c>
    </row>
    <row r="22" spans="1:24" x14ac:dyDescent="0.2">
      <c r="A22">
        <v>6003</v>
      </c>
      <c r="B22">
        <v>28</v>
      </c>
      <c r="C22">
        <v>0</v>
      </c>
      <c r="D22">
        <v>0</v>
      </c>
      <c r="E22">
        <v>0</v>
      </c>
      <c r="F22">
        <v>525.97710924220701</v>
      </c>
      <c r="G22">
        <v>0</v>
      </c>
      <c r="H22">
        <v>0</v>
      </c>
      <c r="I22">
        <v>22.196203952428402</v>
      </c>
      <c r="J22">
        <v>1.8142123718710099</v>
      </c>
      <c r="K22">
        <v>470.622235511562</v>
      </c>
      <c r="L22">
        <v>0</v>
      </c>
      <c r="M22">
        <v>5419.4514994939</v>
      </c>
      <c r="N22">
        <v>0</v>
      </c>
      <c r="O22">
        <v>64.642442143729497</v>
      </c>
      <c r="P22">
        <v>667.76802093275103</v>
      </c>
      <c r="Q22">
        <v>114.805833393649</v>
      </c>
      <c r="R22">
        <v>0</v>
      </c>
      <c r="S22">
        <v>3188.7125018010602</v>
      </c>
      <c r="T22">
        <v>102.567664650856</v>
      </c>
      <c r="U22">
        <v>1E-3</v>
      </c>
      <c r="V22">
        <v>344.31370656112898</v>
      </c>
      <c r="X22" s="4">
        <f t="shared" si="0"/>
        <v>10922.872430055144</v>
      </c>
    </row>
    <row r="23" spans="1:24" x14ac:dyDescent="0.2">
      <c r="A23">
        <v>6003</v>
      </c>
      <c r="B23">
        <v>29</v>
      </c>
      <c r="C23">
        <v>0</v>
      </c>
      <c r="D23">
        <v>0</v>
      </c>
      <c r="E23">
        <v>0</v>
      </c>
      <c r="F23">
        <v>558.128664233108</v>
      </c>
      <c r="G23">
        <v>0</v>
      </c>
      <c r="H23">
        <v>0</v>
      </c>
      <c r="I23">
        <v>24.229482627497799</v>
      </c>
      <c r="J23">
        <v>1.7910152683349601</v>
      </c>
      <c r="K23">
        <v>481.59010729770699</v>
      </c>
      <c r="L23">
        <v>0</v>
      </c>
      <c r="M23">
        <v>5589.9721995496502</v>
      </c>
      <c r="N23">
        <v>0</v>
      </c>
      <c r="O23">
        <v>64.780329681946498</v>
      </c>
      <c r="P23">
        <v>667.32621896288697</v>
      </c>
      <c r="Q23">
        <v>114.805833393649</v>
      </c>
      <c r="R23">
        <v>0</v>
      </c>
      <c r="S23">
        <v>3261.1940834738398</v>
      </c>
      <c r="T23">
        <v>102.560764320716</v>
      </c>
      <c r="U23">
        <v>1E-3</v>
      </c>
      <c r="V23">
        <v>339.14448722870401</v>
      </c>
      <c r="X23" s="4">
        <f t="shared" si="0"/>
        <v>11205.524186038041</v>
      </c>
    </row>
    <row r="24" spans="1:24" x14ac:dyDescent="0.2">
      <c r="A24">
        <v>6003</v>
      </c>
      <c r="B24">
        <v>30</v>
      </c>
      <c r="C24">
        <v>0</v>
      </c>
      <c r="D24">
        <v>0</v>
      </c>
      <c r="E24">
        <v>0</v>
      </c>
      <c r="F24">
        <v>589.63596488956705</v>
      </c>
      <c r="G24">
        <v>0</v>
      </c>
      <c r="H24">
        <v>0</v>
      </c>
      <c r="I24">
        <v>26.369950428191</v>
      </c>
      <c r="J24">
        <v>0</v>
      </c>
      <c r="K24">
        <v>492.896849972442</v>
      </c>
      <c r="L24">
        <v>0</v>
      </c>
      <c r="M24">
        <v>5766.4730740320101</v>
      </c>
      <c r="N24">
        <v>0</v>
      </c>
      <c r="O24">
        <v>64.932491692204707</v>
      </c>
      <c r="P24">
        <v>663.32190635830602</v>
      </c>
      <c r="Q24">
        <v>101.748318076148</v>
      </c>
      <c r="R24">
        <v>0</v>
      </c>
      <c r="S24">
        <v>3335.8978954590202</v>
      </c>
      <c r="T24">
        <v>102.57119162866699</v>
      </c>
      <c r="U24">
        <v>1E-3</v>
      </c>
      <c r="V24">
        <v>354.15945344432203</v>
      </c>
      <c r="X24" s="4">
        <f t="shared" si="0"/>
        <v>11498.00809598088</v>
      </c>
    </row>
    <row r="25" spans="1:24" x14ac:dyDescent="0.2">
      <c r="A25">
        <v>6003</v>
      </c>
      <c r="B25">
        <v>31</v>
      </c>
      <c r="C25">
        <v>0</v>
      </c>
      <c r="D25">
        <v>0</v>
      </c>
      <c r="E25">
        <v>0</v>
      </c>
      <c r="F25">
        <v>620.41418938859499</v>
      </c>
      <c r="G25">
        <v>0</v>
      </c>
      <c r="H25">
        <v>0</v>
      </c>
      <c r="I25">
        <v>28.6075234985347</v>
      </c>
      <c r="J25">
        <v>0</v>
      </c>
      <c r="K25">
        <v>504.511243272846</v>
      </c>
      <c r="L25">
        <v>0</v>
      </c>
      <c r="M25">
        <v>5948.4466930196904</v>
      </c>
      <c r="N25">
        <v>0</v>
      </c>
      <c r="O25">
        <v>65.090983154136396</v>
      </c>
      <c r="P25">
        <v>656.87704150795605</v>
      </c>
      <c r="Q25">
        <v>101.748318076148</v>
      </c>
      <c r="R25">
        <v>0</v>
      </c>
      <c r="S25">
        <v>3412.4983479302</v>
      </c>
      <c r="T25">
        <v>102.586184477648</v>
      </c>
      <c r="U25">
        <v>1E-3</v>
      </c>
      <c r="V25">
        <v>354.24107143031603</v>
      </c>
      <c r="X25" s="4">
        <f t="shared" si="0"/>
        <v>11795.022595756072</v>
      </c>
    </row>
    <row r="26" spans="1:24" x14ac:dyDescent="0.2">
      <c r="A26">
        <v>6003</v>
      </c>
      <c r="B26">
        <v>32</v>
      </c>
      <c r="C26">
        <v>0</v>
      </c>
      <c r="D26">
        <v>0</v>
      </c>
      <c r="E26">
        <v>0</v>
      </c>
      <c r="F26">
        <v>650.40503856801604</v>
      </c>
      <c r="G26">
        <v>0</v>
      </c>
      <c r="H26">
        <v>0</v>
      </c>
      <c r="I26">
        <v>30.943660856305002</v>
      </c>
      <c r="J26">
        <v>0</v>
      </c>
      <c r="K26">
        <v>516.50596182101901</v>
      </c>
      <c r="L26">
        <v>0</v>
      </c>
      <c r="M26">
        <v>6136.2097747198604</v>
      </c>
      <c r="N26">
        <v>0</v>
      </c>
      <c r="O26">
        <v>65.257916361854299</v>
      </c>
      <c r="P26">
        <v>650.85665893361704</v>
      </c>
      <c r="Q26">
        <v>101.748318076148</v>
      </c>
      <c r="R26">
        <v>0</v>
      </c>
      <c r="S26">
        <v>3491.14926230423</v>
      </c>
      <c r="T26">
        <v>102.608905413321</v>
      </c>
      <c r="U26">
        <v>1E-3</v>
      </c>
      <c r="V26">
        <v>354.21126382158099</v>
      </c>
      <c r="X26" s="4">
        <f t="shared" si="0"/>
        <v>12099.897760875951</v>
      </c>
    </row>
    <row r="27" spans="1:24" x14ac:dyDescent="0.2">
      <c r="A27">
        <v>6003</v>
      </c>
      <c r="B27">
        <v>33</v>
      </c>
      <c r="C27">
        <v>0</v>
      </c>
      <c r="D27">
        <v>0</v>
      </c>
      <c r="E27">
        <v>0</v>
      </c>
      <c r="F27">
        <v>679.603779700568</v>
      </c>
      <c r="G27">
        <v>0</v>
      </c>
      <c r="H27">
        <v>0</v>
      </c>
      <c r="I27">
        <v>33.375504688964298</v>
      </c>
      <c r="J27">
        <v>0</v>
      </c>
      <c r="K27">
        <v>528.86290160535304</v>
      </c>
      <c r="L27">
        <v>0</v>
      </c>
      <c r="M27">
        <v>6330.6089676532702</v>
      </c>
      <c r="N27">
        <v>0</v>
      </c>
      <c r="O27">
        <v>65.440008761624995</v>
      </c>
      <c r="P27">
        <v>644.764765927285</v>
      </c>
      <c r="Q27">
        <v>101.748318076148</v>
      </c>
      <c r="R27">
        <v>0</v>
      </c>
      <c r="S27">
        <v>3572.2533990213201</v>
      </c>
      <c r="T27">
        <v>102.64970603362799</v>
      </c>
      <c r="U27">
        <v>1E-3</v>
      </c>
      <c r="V27">
        <v>354.61243181727701</v>
      </c>
      <c r="X27" s="4">
        <f t="shared" si="0"/>
        <v>12413.920783285437</v>
      </c>
    </row>
    <row r="28" spans="1:24" x14ac:dyDescent="0.2">
      <c r="A28">
        <v>6003</v>
      </c>
      <c r="B28">
        <v>34</v>
      </c>
      <c r="C28">
        <v>0</v>
      </c>
      <c r="D28">
        <v>0</v>
      </c>
      <c r="E28">
        <v>0</v>
      </c>
      <c r="F28">
        <v>708.025044676417</v>
      </c>
      <c r="G28">
        <v>0</v>
      </c>
      <c r="H28">
        <v>0</v>
      </c>
      <c r="I28">
        <v>35.9003669647416</v>
      </c>
      <c r="J28">
        <v>0</v>
      </c>
      <c r="K28">
        <v>541.509491905662</v>
      </c>
      <c r="L28">
        <v>0</v>
      </c>
      <c r="M28">
        <v>6532.78784834406</v>
      </c>
      <c r="N28">
        <v>0</v>
      </c>
      <c r="O28">
        <v>65.645958603369607</v>
      </c>
      <c r="P28">
        <v>638.90076269678104</v>
      </c>
      <c r="Q28">
        <v>101.748318076148</v>
      </c>
      <c r="R28">
        <v>0</v>
      </c>
      <c r="S28">
        <v>3656.3494994062899</v>
      </c>
      <c r="T28">
        <v>102.721930997581</v>
      </c>
      <c r="U28">
        <v>1E-3</v>
      </c>
      <c r="V28">
        <v>355.17234988592401</v>
      </c>
      <c r="X28" s="4">
        <f t="shared" si="0"/>
        <v>12738.762571556974</v>
      </c>
    </row>
    <row r="29" spans="1:24" x14ac:dyDescent="0.2">
      <c r="A29">
        <v>6003</v>
      </c>
      <c r="B29">
        <v>35</v>
      </c>
      <c r="C29">
        <v>0</v>
      </c>
      <c r="D29">
        <v>0</v>
      </c>
      <c r="E29">
        <v>0</v>
      </c>
      <c r="F29">
        <v>735.65945048854496</v>
      </c>
      <c r="G29">
        <v>0</v>
      </c>
      <c r="H29">
        <v>0</v>
      </c>
      <c r="I29">
        <v>38.515736177466202</v>
      </c>
      <c r="J29">
        <v>0</v>
      </c>
      <c r="K29">
        <v>554.66737560701495</v>
      </c>
      <c r="L29">
        <v>0</v>
      </c>
      <c r="M29">
        <v>6743.5444498552297</v>
      </c>
      <c r="N29">
        <v>0</v>
      </c>
      <c r="O29">
        <v>65.880426914565902</v>
      </c>
      <c r="P29">
        <v>633.266492759691</v>
      </c>
      <c r="Q29">
        <v>101.748318076148</v>
      </c>
      <c r="R29">
        <v>0</v>
      </c>
      <c r="S29">
        <v>3743.7978831588198</v>
      </c>
      <c r="T29">
        <v>102.851825254758</v>
      </c>
      <c r="U29">
        <v>1E-3</v>
      </c>
      <c r="V29">
        <v>355.822288330086</v>
      </c>
      <c r="X29" s="4">
        <f t="shared" si="0"/>
        <v>13075.755246622326</v>
      </c>
    </row>
    <row r="30" spans="1:24" x14ac:dyDescent="0.2">
      <c r="A30">
        <v>6003</v>
      </c>
      <c r="B30">
        <v>36</v>
      </c>
      <c r="C30">
        <v>0</v>
      </c>
      <c r="D30">
        <v>0</v>
      </c>
      <c r="E30">
        <v>0</v>
      </c>
      <c r="F30">
        <v>775.76562408635698</v>
      </c>
      <c r="G30">
        <v>0</v>
      </c>
      <c r="H30">
        <v>0</v>
      </c>
      <c r="I30">
        <v>41.1906080050735</v>
      </c>
      <c r="J30">
        <v>0</v>
      </c>
      <c r="K30">
        <v>569.23461751321804</v>
      </c>
      <c r="L30">
        <v>0</v>
      </c>
      <c r="M30">
        <v>6972.8385151146404</v>
      </c>
      <c r="N30">
        <v>0</v>
      </c>
      <c r="O30">
        <v>67.610646065634896</v>
      </c>
      <c r="P30">
        <v>642.27486942444398</v>
      </c>
      <c r="Q30">
        <v>101.748318076148</v>
      </c>
      <c r="R30">
        <v>0</v>
      </c>
      <c r="S30">
        <v>3839.6712668046598</v>
      </c>
      <c r="T30">
        <v>105.594343561629</v>
      </c>
      <c r="U30">
        <v>1E-3</v>
      </c>
      <c r="V30">
        <v>366.16140431921502</v>
      </c>
      <c r="X30" s="4">
        <f t="shared" si="0"/>
        <v>13482.09121297102</v>
      </c>
    </row>
    <row r="31" spans="1:24" x14ac:dyDescent="0.2">
      <c r="A31">
        <v>6003</v>
      </c>
      <c r="B31">
        <v>37</v>
      </c>
      <c r="C31">
        <v>0</v>
      </c>
      <c r="D31">
        <v>0</v>
      </c>
      <c r="E31">
        <v>0</v>
      </c>
      <c r="F31">
        <v>816.34293008962595</v>
      </c>
      <c r="G31">
        <v>0</v>
      </c>
      <c r="H31">
        <v>0</v>
      </c>
      <c r="I31">
        <v>43.936816457604102</v>
      </c>
      <c r="J31">
        <v>0</v>
      </c>
      <c r="K31">
        <v>583.97029540937206</v>
      </c>
      <c r="L31">
        <v>0</v>
      </c>
      <c r="M31">
        <v>7206.8876685410396</v>
      </c>
      <c r="N31">
        <v>0</v>
      </c>
      <c r="O31">
        <v>69.360871143523696</v>
      </c>
      <c r="P31">
        <v>651.38630998658095</v>
      </c>
      <c r="Q31">
        <v>101.748318076148</v>
      </c>
      <c r="R31">
        <v>0</v>
      </c>
      <c r="S31">
        <v>3936.68795202512</v>
      </c>
      <c r="T31">
        <v>108.368677104166</v>
      </c>
      <c r="U31">
        <v>1E-3</v>
      </c>
      <c r="V31">
        <v>376.25479357129001</v>
      </c>
      <c r="X31" s="4">
        <f t="shared" si="0"/>
        <v>13894.945632404473</v>
      </c>
    </row>
    <row r="32" spans="1:24" x14ac:dyDescent="0.2">
      <c r="A32">
        <v>6003</v>
      </c>
      <c r="B32">
        <v>38</v>
      </c>
      <c r="C32">
        <v>0</v>
      </c>
      <c r="D32">
        <v>0</v>
      </c>
      <c r="E32">
        <v>0</v>
      </c>
      <c r="F32">
        <v>857.27083954768204</v>
      </c>
      <c r="G32">
        <v>0</v>
      </c>
      <c r="H32">
        <v>0</v>
      </c>
      <c r="I32">
        <v>46.752587863451197</v>
      </c>
      <c r="J32">
        <v>0</v>
      </c>
      <c r="K32">
        <v>598.76052937946201</v>
      </c>
      <c r="L32">
        <v>0</v>
      </c>
      <c r="M32">
        <v>7444.3235578718904</v>
      </c>
      <c r="N32">
        <v>0</v>
      </c>
      <c r="O32">
        <v>71.117576100344806</v>
      </c>
      <c r="P32">
        <v>660.52885707215501</v>
      </c>
      <c r="Q32">
        <v>101.748318076148</v>
      </c>
      <c r="R32">
        <v>0</v>
      </c>
      <c r="S32">
        <v>4034.10990186559</v>
      </c>
      <c r="T32">
        <v>111.153480899792</v>
      </c>
      <c r="U32">
        <v>1E-3</v>
      </c>
      <c r="V32">
        <v>385.95406755913399</v>
      </c>
      <c r="X32" s="4">
        <f t="shared" si="0"/>
        <v>14311.72071623565</v>
      </c>
    </row>
    <row r="33" spans="1:24" x14ac:dyDescent="0.2">
      <c r="A33">
        <v>6003</v>
      </c>
      <c r="B33">
        <v>39</v>
      </c>
      <c r="C33">
        <v>0</v>
      </c>
      <c r="D33">
        <v>0</v>
      </c>
      <c r="E33">
        <v>0</v>
      </c>
      <c r="F33">
        <v>898.52469137130697</v>
      </c>
      <c r="G33">
        <v>0</v>
      </c>
      <c r="H33">
        <v>0</v>
      </c>
      <c r="I33">
        <v>49.636831119394103</v>
      </c>
      <c r="J33">
        <v>0</v>
      </c>
      <c r="K33">
        <v>613.604256039912</v>
      </c>
      <c r="L33">
        <v>0</v>
      </c>
      <c r="M33">
        <v>7685.1479057674296</v>
      </c>
      <c r="N33">
        <v>0</v>
      </c>
      <c r="O33">
        <v>72.880634633079694</v>
      </c>
      <c r="P33">
        <v>660.52885707215501</v>
      </c>
      <c r="Q33">
        <v>101.748318076148</v>
      </c>
      <c r="R33">
        <v>0</v>
      </c>
      <c r="S33">
        <v>4131.92729726984</v>
      </c>
      <c r="T33">
        <v>113.94855808112899</v>
      </c>
      <c r="U33">
        <v>1E-3</v>
      </c>
      <c r="V33">
        <v>402.45752582638897</v>
      </c>
      <c r="X33" s="4">
        <f t="shared" si="0"/>
        <v>14730.405875256783</v>
      </c>
    </row>
    <row r="34" spans="1:24" x14ac:dyDescent="0.2">
      <c r="A34">
        <v>6003</v>
      </c>
      <c r="B34">
        <v>40</v>
      </c>
      <c r="C34">
        <v>0</v>
      </c>
      <c r="D34">
        <v>0</v>
      </c>
      <c r="E34">
        <v>0</v>
      </c>
      <c r="F34">
        <v>939.97674480328396</v>
      </c>
      <c r="G34">
        <v>0</v>
      </c>
      <c r="H34">
        <v>0</v>
      </c>
      <c r="I34">
        <v>52.5884533526404</v>
      </c>
      <c r="J34">
        <v>0</v>
      </c>
      <c r="K34">
        <v>628.39380832047004</v>
      </c>
      <c r="L34">
        <v>0</v>
      </c>
      <c r="M34">
        <v>7928.0180504718301</v>
      </c>
      <c r="N34">
        <v>0</v>
      </c>
      <c r="O34">
        <v>74.637258622461005</v>
      </c>
      <c r="P34">
        <v>660.52885707215501</v>
      </c>
      <c r="Q34">
        <v>101.748318076148</v>
      </c>
      <c r="R34">
        <v>0</v>
      </c>
      <c r="S34">
        <v>4229.4411230094402</v>
      </c>
      <c r="T34">
        <v>116.733723530018</v>
      </c>
      <c r="U34">
        <v>1E-3</v>
      </c>
      <c r="V34">
        <v>418.21447002169998</v>
      </c>
      <c r="X34" s="4">
        <f t="shared" si="0"/>
        <v>15150.281807280146</v>
      </c>
    </row>
    <row r="35" spans="1:24" x14ac:dyDescent="0.2">
      <c r="A35">
        <v>6003</v>
      </c>
      <c r="B35">
        <v>41</v>
      </c>
      <c r="C35">
        <v>0</v>
      </c>
      <c r="D35">
        <v>0</v>
      </c>
      <c r="E35">
        <v>0</v>
      </c>
      <c r="F35">
        <v>981.60544428706601</v>
      </c>
      <c r="G35">
        <v>0</v>
      </c>
      <c r="H35">
        <v>0</v>
      </c>
      <c r="I35">
        <v>55.606986909475097</v>
      </c>
      <c r="J35">
        <v>0</v>
      </c>
      <c r="K35">
        <v>646.20290149882896</v>
      </c>
      <c r="L35">
        <v>0</v>
      </c>
      <c r="M35">
        <v>8172.9274799531504</v>
      </c>
      <c r="N35">
        <v>0</v>
      </c>
      <c r="O35">
        <v>76.388510320199202</v>
      </c>
      <c r="P35">
        <v>660.52885707215501</v>
      </c>
      <c r="Q35">
        <v>101.748318076148</v>
      </c>
      <c r="R35">
        <v>0</v>
      </c>
      <c r="S35">
        <v>4326.7057592772799</v>
      </c>
      <c r="T35">
        <v>119.23450436285199</v>
      </c>
      <c r="U35">
        <v>1E-3</v>
      </c>
      <c r="V35">
        <v>431.250575161006</v>
      </c>
      <c r="X35" s="4">
        <f t="shared" si="0"/>
        <v>15572.20033691816</v>
      </c>
    </row>
    <row r="36" spans="1:24" x14ac:dyDescent="0.2">
      <c r="A36">
        <v>6003</v>
      </c>
      <c r="B36">
        <v>42</v>
      </c>
      <c r="C36">
        <v>0</v>
      </c>
      <c r="D36">
        <v>0</v>
      </c>
      <c r="E36">
        <v>0</v>
      </c>
      <c r="F36">
        <v>1023.45068016465</v>
      </c>
      <c r="G36">
        <v>0</v>
      </c>
      <c r="H36">
        <v>0</v>
      </c>
      <c r="I36">
        <v>58.692688874205302</v>
      </c>
      <c r="J36">
        <v>0</v>
      </c>
      <c r="K36">
        <v>657.90580237650897</v>
      </c>
      <c r="L36">
        <v>0</v>
      </c>
      <c r="M36">
        <v>8421.0563670709198</v>
      </c>
      <c r="N36">
        <v>0</v>
      </c>
      <c r="O36">
        <v>78.142535574047002</v>
      </c>
      <c r="P36">
        <v>660.52885707215501</v>
      </c>
      <c r="Q36">
        <v>101.748318076148</v>
      </c>
      <c r="R36">
        <v>0</v>
      </c>
      <c r="S36">
        <v>4424.16159079925</v>
      </c>
      <c r="T36">
        <v>125.97172890509</v>
      </c>
      <c r="U36">
        <v>1E-3</v>
      </c>
      <c r="V36">
        <v>447.825715042431</v>
      </c>
      <c r="X36" s="4">
        <f t="shared" si="0"/>
        <v>15999.485283955406</v>
      </c>
    </row>
    <row r="37" spans="1:24" x14ac:dyDescent="0.2">
      <c r="A37">
        <v>6003</v>
      </c>
      <c r="B37">
        <v>43</v>
      </c>
      <c r="C37">
        <v>0</v>
      </c>
      <c r="D37">
        <v>0</v>
      </c>
      <c r="E37">
        <v>0</v>
      </c>
      <c r="F37">
        <v>1065.4936514649501</v>
      </c>
      <c r="G37">
        <v>0</v>
      </c>
      <c r="H37">
        <v>0</v>
      </c>
      <c r="I37">
        <v>61.846092791499601</v>
      </c>
      <c r="J37">
        <v>0</v>
      </c>
      <c r="K37">
        <v>672.70268832828901</v>
      </c>
      <c r="L37">
        <v>0</v>
      </c>
      <c r="M37">
        <v>8672.1712488704507</v>
      </c>
      <c r="N37">
        <v>0</v>
      </c>
      <c r="O37">
        <v>79.900030617707401</v>
      </c>
      <c r="P37">
        <v>660.52885707215501</v>
      </c>
      <c r="Q37">
        <v>101.748318076148</v>
      </c>
      <c r="R37">
        <v>0</v>
      </c>
      <c r="S37">
        <v>4521.8437492103903</v>
      </c>
      <c r="T37">
        <v>131.467307203129</v>
      </c>
      <c r="U37">
        <v>1E-3</v>
      </c>
      <c r="V37">
        <v>461.88171517336701</v>
      </c>
      <c r="X37" s="4">
        <f t="shared" si="0"/>
        <v>16429.584658808086</v>
      </c>
    </row>
    <row r="38" spans="1:24" x14ac:dyDescent="0.2">
      <c r="A38">
        <v>6003</v>
      </c>
      <c r="B38">
        <v>44</v>
      </c>
      <c r="C38">
        <v>0</v>
      </c>
      <c r="D38">
        <v>0</v>
      </c>
      <c r="E38">
        <v>0</v>
      </c>
      <c r="F38">
        <v>1107.7792805935201</v>
      </c>
      <c r="G38">
        <v>0</v>
      </c>
      <c r="H38">
        <v>0</v>
      </c>
      <c r="I38">
        <v>65.068334880539695</v>
      </c>
      <c r="J38">
        <v>0</v>
      </c>
      <c r="K38">
        <v>691.60443440998597</v>
      </c>
      <c r="L38">
        <v>0</v>
      </c>
      <c r="M38">
        <v>8927.1047594671509</v>
      </c>
      <c r="N38">
        <v>0</v>
      </c>
      <c r="O38">
        <v>81.668840461039395</v>
      </c>
      <c r="P38">
        <v>660.52885707215501</v>
      </c>
      <c r="Q38">
        <v>101.748318076148</v>
      </c>
      <c r="R38">
        <v>0</v>
      </c>
      <c r="S38">
        <v>4620.1771334978503</v>
      </c>
      <c r="T38">
        <v>135.43489180795001</v>
      </c>
      <c r="U38">
        <v>1E-3</v>
      </c>
      <c r="V38">
        <v>473.049223941957</v>
      </c>
      <c r="X38" s="4">
        <f t="shared" si="0"/>
        <v>16864.165074208297</v>
      </c>
    </row>
    <row r="39" spans="1:24" x14ac:dyDescent="0.2">
      <c r="A39">
        <v>6003</v>
      </c>
      <c r="B39">
        <v>45</v>
      </c>
      <c r="C39">
        <v>0</v>
      </c>
      <c r="D39">
        <v>0</v>
      </c>
      <c r="E39">
        <v>0</v>
      </c>
      <c r="F39">
        <v>1150.3595145599199</v>
      </c>
      <c r="G39">
        <v>0</v>
      </c>
      <c r="H39">
        <v>0</v>
      </c>
      <c r="I39">
        <v>68.3610331740079</v>
      </c>
      <c r="J39">
        <v>0</v>
      </c>
      <c r="K39">
        <v>702.65017975707099</v>
      </c>
      <c r="L39">
        <v>0</v>
      </c>
      <c r="M39">
        <v>9187.1834610523401</v>
      </c>
      <c r="N39">
        <v>0</v>
      </c>
      <c r="O39">
        <v>83.457033620073005</v>
      </c>
      <c r="P39">
        <v>660.52885707215501</v>
      </c>
      <c r="Q39">
        <v>101.748318076148</v>
      </c>
      <c r="R39">
        <v>0</v>
      </c>
      <c r="S39">
        <v>4719.5994115431704</v>
      </c>
      <c r="T39">
        <v>142.816374619063</v>
      </c>
      <c r="U39">
        <v>1E-3</v>
      </c>
      <c r="V39">
        <v>489.09527463175601</v>
      </c>
      <c r="X39" s="4">
        <f t="shared" si="0"/>
        <v>17305.800458105703</v>
      </c>
    </row>
    <row r="40" spans="1:24" x14ac:dyDescent="0.2">
      <c r="C40" s="4">
        <f t="shared" ref="C40:L40" si="1">+SUM(C2:C39)</f>
        <v>0</v>
      </c>
      <c r="D40" s="4">
        <f t="shared" si="1"/>
        <v>0</v>
      </c>
      <c r="E40" s="4">
        <f t="shared" si="1"/>
        <v>0</v>
      </c>
      <c r="F40" s="4">
        <f t="shared" si="1"/>
        <v>18448.632646191403</v>
      </c>
      <c r="G40" s="4">
        <f t="shared" si="1"/>
        <v>0</v>
      </c>
      <c r="H40" s="4">
        <f t="shared" si="1"/>
        <v>0</v>
      </c>
      <c r="I40" s="4">
        <f t="shared" si="1"/>
        <v>947.75524066492744</v>
      </c>
      <c r="J40" s="4">
        <f t="shared" si="1"/>
        <v>434.94302734791904</v>
      </c>
      <c r="K40" s="4">
        <f t="shared" si="1"/>
        <v>22844.332432390238</v>
      </c>
      <c r="L40" s="4">
        <f t="shared" si="1"/>
        <v>0</v>
      </c>
      <c r="M40" s="10">
        <f>+SUM(M2:M39)</f>
        <v>212198.09283199185</v>
      </c>
      <c r="N40" s="4">
        <f t="shared" ref="N40:V40" si="2">+SUM(N2:N39)</f>
        <v>0</v>
      </c>
      <c r="O40" s="4">
        <f t="shared" si="2"/>
        <v>3015.2037594965514</v>
      </c>
      <c r="P40" s="4">
        <f t="shared" si="2"/>
        <v>27008.643545832783</v>
      </c>
      <c r="Q40" s="4">
        <f t="shared" si="2"/>
        <v>4376.1932716875272</v>
      </c>
      <c r="R40" s="4">
        <f t="shared" si="2"/>
        <v>0</v>
      </c>
      <c r="S40" s="4">
        <f t="shared" si="2"/>
        <v>123559.04781815145</v>
      </c>
      <c r="T40" s="4">
        <f t="shared" si="2"/>
        <v>4266.3099695089486</v>
      </c>
      <c r="U40" s="4">
        <f t="shared" si="2"/>
        <v>3.8000000000000027E-2</v>
      </c>
      <c r="V40" s="4">
        <f t="shared" si="2"/>
        <v>14350.617544113364</v>
      </c>
      <c r="X40" s="4">
        <f>+SUM(C40:V40)</f>
        <v>431449.81008737703</v>
      </c>
    </row>
    <row r="41" spans="1:24" ht="17" thickBot="1" x14ac:dyDescent="0.25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4" ht="17" thickTop="1" x14ac:dyDescent="0.2">
      <c r="A42">
        <v>6004</v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0.85170101042173296</v>
      </c>
      <c r="J42">
        <v>19.177500187377401</v>
      </c>
      <c r="K42">
        <v>814.24894807440205</v>
      </c>
      <c r="L42">
        <v>0</v>
      </c>
      <c r="M42">
        <v>3117.5190678497602</v>
      </c>
      <c r="N42">
        <v>0</v>
      </c>
      <c r="O42">
        <v>204.837757040518</v>
      </c>
      <c r="P42">
        <v>925.73637484153198</v>
      </c>
      <c r="Q42">
        <v>223.912801510582</v>
      </c>
      <c r="R42">
        <v>0</v>
      </c>
      <c r="S42">
        <v>1773.0926337916101</v>
      </c>
      <c r="T42">
        <v>111.45373811118399</v>
      </c>
      <c r="U42">
        <v>1E-3</v>
      </c>
      <c r="V42">
        <v>287.673332931765</v>
      </c>
    </row>
    <row r="43" spans="1:24" x14ac:dyDescent="0.2">
      <c r="A43">
        <v>6004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0.868527249393655</v>
      </c>
      <c r="J43">
        <v>17.803062031316099</v>
      </c>
      <c r="K43">
        <v>631.16441436402204</v>
      </c>
      <c r="L43">
        <v>0</v>
      </c>
      <c r="M43">
        <v>2964.57835420628</v>
      </c>
      <c r="N43">
        <v>0</v>
      </c>
      <c r="O43">
        <v>202.019878011917</v>
      </c>
      <c r="P43">
        <v>910.71453656842402</v>
      </c>
      <c r="Q43">
        <v>222.45614497254701</v>
      </c>
      <c r="R43">
        <v>0</v>
      </c>
      <c r="S43">
        <v>2528.5964460292198</v>
      </c>
      <c r="T43">
        <v>119.97111924180901</v>
      </c>
      <c r="U43">
        <v>1E-3</v>
      </c>
      <c r="V43">
        <v>352.302110706782</v>
      </c>
    </row>
    <row r="44" spans="1:24" x14ac:dyDescent="0.2">
      <c r="A44">
        <v>6004</v>
      </c>
      <c r="B44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0.88477941097730495</v>
      </c>
      <c r="J44">
        <v>16.912008990252001</v>
      </c>
      <c r="K44">
        <v>633.20075728745701</v>
      </c>
      <c r="L44">
        <v>0</v>
      </c>
      <c r="M44">
        <v>3391.92885134482</v>
      </c>
      <c r="N44">
        <v>0</v>
      </c>
      <c r="O44">
        <v>197.63284371513399</v>
      </c>
      <c r="P44">
        <v>891.01507871913896</v>
      </c>
      <c r="Q44">
        <v>120.677488085984</v>
      </c>
      <c r="R44">
        <v>0</v>
      </c>
      <c r="S44">
        <v>2546.56986965339</v>
      </c>
      <c r="T44">
        <v>118.57698424995201</v>
      </c>
      <c r="U44">
        <v>1E-3</v>
      </c>
      <c r="V44">
        <v>346.94792883878802</v>
      </c>
    </row>
    <row r="45" spans="1:24" x14ac:dyDescent="0.2">
      <c r="A45">
        <v>6004</v>
      </c>
      <c r="B45">
        <v>11</v>
      </c>
      <c r="C45">
        <v>0</v>
      </c>
      <c r="D45">
        <v>1.90661036873645</v>
      </c>
      <c r="E45">
        <v>0</v>
      </c>
      <c r="F45">
        <v>34.168464766040003</v>
      </c>
      <c r="G45">
        <v>0</v>
      </c>
      <c r="H45">
        <v>0</v>
      </c>
      <c r="I45">
        <v>4.0016657669473101</v>
      </c>
      <c r="J45">
        <v>15.2003129588802</v>
      </c>
      <c r="K45">
        <v>623.44700083186694</v>
      </c>
      <c r="L45">
        <v>0</v>
      </c>
      <c r="M45">
        <v>3522.91257511596</v>
      </c>
      <c r="N45">
        <v>115.166982629502</v>
      </c>
      <c r="O45">
        <v>78.174196375928503</v>
      </c>
      <c r="P45">
        <v>864.75387448868696</v>
      </c>
      <c r="Q45">
        <v>114.876703895389</v>
      </c>
      <c r="R45">
        <v>0</v>
      </c>
      <c r="S45">
        <v>2460.4800491787501</v>
      </c>
      <c r="T45">
        <v>121.82882794372</v>
      </c>
      <c r="U45">
        <v>1E-3</v>
      </c>
      <c r="V45">
        <v>475.03744868637898</v>
      </c>
    </row>
    <row r="46" spans="1:24" x14ac:dyDescent="0.2">
      <c r="A46">
        <v>6004</v>
      </c>
      <c r="B46">
        <v>12</v>
      </c>
      <c r="C46">
        <v>0</v>
      </c>
      <c r="D46">
        <v>7.2109598445077898</v>
      </c>
      <c r="E46">
        <v>0</v>
      </c>
      <c r="F46">
        <v>62.811255487686303</v>
      </c>
      <c r="G46">
        <v>0</v>
      </c>
      <c r="H46">
        <v>0</v>
      </c>
      <c r="I46">
        <v>7.4888427766961803</v>
      </c>
      <c r="J46">
        <v>190.8731700486</v>
      </c>
      <c r="K46">
        <v>614.03058840774702</v>
      </c>
      <c r="L46">
        <v>0</v>
      </c>
      <c r="M46">
        <v>3736.8409031903202</v>
      </c>
      <c r="N46">
        <v>247.54089339164599</v>
      </c>
      <c r="O46">
        <v>84.064865191506797</v>
      </c>
      <c r="P46">
        <v>844.63812045556995</v>
      </c>
      <c r="Q46">
        <v>114.876703895389</v>
      </c>
      <c r="R46">
        <v>0</v>
      </c>
      <c r="S46">
        <v>2377.36773662526</v>
      </c>
      <c r="T46">
        <v>125.420019467885</v>
      </c>
      <c r="U46">
        <v>1E-3</v>
      </c>
      <c r="V46">
        <v>460.984043811422</v>
      </c>
    </row>
    <row r="47" spans="1:24" x14ac:dyDescent="0.2">
      <c r="A47">
        <v>6004</v>
      </c>
      <c r="B47">
        <v>13</v>
      </c>
      <c r="C47">
        <v>0</v>
      </c>
      <c r="D47">
        <v>18.7777296159903</v>
      </c>
      <c r="E47">
        <v>0</v>
      </c>
      <c r="F47">
        <v>105.912983711243</v>
      </c>
      <c r="G47">
        <v>0</v>
      </c>
      <c r="H47">
        <v>0</v>
      </c>
      <c r="I47">
        <v>11.8380465395201</v>
      </c>
      <c r="J47">
        <v>12.3744733265018</v>
      </c>
      <c r="K47">
        <v>606.02273623915198</v>
      </c>
      <c r="L47">
        <v>0</v>
      </c>
      <c r="M47">
        <v>3701.1016941696698</v>
      </c>
      <c r="N47">
        <v>380.82118127249402</v>
      </c>
      <c r="O47">
        <v>90.206305747020295</v>
      </c>
      <c r="P47">
        <v>825.09193002493998</v>
      </c>
      <c r="Q47">
        <v>114.876703895389</v>
      </c>
      <c r="R47">
        <v>0</v>
      </c>
      <c r="S47">
        <v>2267.3871896083801</v>
      </c>
      <c r="T47">
        <v>129.55386054103499</v>
      </c>
      <c r="U47">
        <v>1E-3</v>
      </c>
      <c r="V47">
        <v>531.05593313106203</v>
      </c>
    </row>
    <row r="48" spans="1:24" x14ac:dyDescent="0.2">
      <c r="A48">
        <v>6004</v>
      </c>
      <c r="B48">
        <v>14</v>
      </c>
      <c r="C48">
        <v>0</v>
      </c>
      <c r="D48">
        <v>40.410875273000997</v>
      </c>
      <c r="E48">
        <v>0</v>
      </c>
      <c r="F48">
        <v>165.89727743653</v>
      </c>
      <c r="G48">
        <v>0</v>
      </c>
      <c r="H48">
        <v>0</v>
      </c>
      <c r="I48">
        <v>17.786633291309599</v>
      </c>
      <c r="J48">
        <v>10.423323092292801</v>
      </c>
      <c r="K48">
        <v>599.75669976913503</v>
      </c>
      <c r="L48">
        <v>0</v>
      </c>
      <c r="M48">
        <v>3411.0425528321998</v>
      </c>
      <c r="N48">
        <v>494.23577160877801</v>
      </c>
      <c r="O48">
        <v>96.917648448896799</v>
      </c>
      <c r="P48">
        <v>806.122541526806</v>
      </c>
      <c r="Q48">
        <v>114.876703895389</v>
      </c>
      <c r="R48">
        <v>0</v>
      </c>
      <c r="S48">
        <v>2212.08111781466</v>
      </c>
      <c r="T48">
        <v>143.170745888254</v>
      </c>
      <c r="U48">
        <v>1E-3</v>
      </c>
      <c r="V48">
        <v>541.72100688637499</v>
      </c>
    </row>
    <row r="49" spans="1:22" x14ac:dyDescent="0.2">
      <c r="A49">
        <v>6004</v>
      </c>
      <c r="B49">
        <v>15</v>
      </c>
      <c r="C49">
        <v>0</v>
      </c>
      <c r="D49">
        <v>67.503936562853298</v>
      </c>
      <c r="E49">
        <v>0</v>
      </c>
      <c r="F49">
        <v>214.94674537119101</v>
      </c>
      <c r="G49">
        <v>0</v>
      </c>
      <c r="H49">
        <v>0</v>
      </c>
      <c r="I49">
        <v>24.4840599584568</v>
      </c>
      <c r="J49">
        <v>8.2431505269302505</v>
      </c>
      <c r="K49">
        <v>593.42703061688303</v>
      </c>
      <c r="L49">
        <v>0</v>
      </c>
      <c r="M49">
        <v>3205.59500352144</v>
      </c>
      <c r="N49">
        <v>609.98346844534694</v>
      </c>
      <c r="O49">
        <v>103.597326864984</v>
      </c>
      <c r="P49">
        <v>787.54839797626698</v>
      </c>
      <c r="Q49">
        <v>114.876703895389</v>
      </c>
      <c r="R49">
        <v>0</v>
      </c>
      <c r="S49">
        <v>2156.21340331284</v>
      </c>
      <c r="T49">
        <v>167.71048179533699</v>
      </c>
      <c r="U49">
        <v>1E-3</v>
      </c>
      <c r="V49">
        <v>524.18972176909904</v>
      </c>
    </row>
    <row r="50" spans="1:22" x14ac:dyDescent="0.2">
      <c r="A50">
        <v>6004</v>
      </c>
      <c r="B50">
        <v>16</v>
      </c>
      <c r="C50">
        <v>0</v>
      </c>
      <c r="D50">
        <v>99.035070260697395</v>
      </c>
      <c r="E50">
        <v>0</v>
      </c>
      <c r="F50">
        <v>254.537505143722</v>
      </c>
      <c r="G50">
        <v>0</v>
      </c>
      <c r="H50">
        <v>0</v>
      </c>
      <c r="I50">
        <v>31.968711046167101</v>
      </c>
      <c r="J50">
        <v>7.6284696234662697</v>
      </c>
      <c r="K50">
        <v>586.85693521544601</v>
      </c>
      <c r="L50">
        <v>0</v>
      </c>
      <c r="M50">
        <v>3095.6326923383099</v>
      </c>
      <c r="N50">
        <v>738.565546217627</v>
      </c>
      <c r="O50">
        <v>110.180634635869</v>
      </c>
      <c r="P50">
        <v>769.34468510851605</v>
      </c>
      <c r="Q50">
        <v>114.876703895389</v>
      </c>
      <c r="R50">
        <v>0</v>
      </c>
      <c r="S50">
        <v>2086.3766282061501</v>
      </c>
      <c r="T50">
        <v>191.88085300256</v>
      </c>
      <c r="U50">
        <v>1E-3</v>
      </c>
      <c r="V50">
        <v>506.84063261197502</v>
      </c>
    </row>
    <row r="51" spans="1:22" x14ac:dyDescent="0.2">
      <c r="A51">
        <v>6004</v>
      </c>
      <c r="B51">
        <v>17</v>
      </c>
      <c r="C51">
        <v>0</v>
      </c>
      <c r="D51">
        <v>134.171490969475</v>
      </c>
      <c r="E51">
        <v>0</v>
      </c>
      <c r="F51">
        <v>285.997125487566</v>
      </c>
      <c r="G51">
        <v>0</v>
      </c>
      <c r="H51">
        <v>0</v>
      </c>
      <c r="I51">
        <v>40.291208900002601</v>
      </c>
      <c r="J51">
        <v>6.9643068955528502</v>
      </c>
      <c r="K51">
        <v>580.10968246033895</v>
      </c>
      <c r="L51">
        <v>0</v>
      </c>
      <c r="M51">
        <v>2972.1604756898701</v>
      </c>
      <c r="N51">
        <v>868.42882229031602</v>
      </c>
      <c r="O51">
        <v>116.70682711143699</v>
      </c>
      <c r="P51">
        <v>751.51311370367</v>
      </c>
      <c r="Q51">
        <v>114.876703895389</v>
      </c>
      <c r="R51">
        <v>0</v>
      </c>
      <c r="S51">
        <v>1975.4209970596701</v>
      </c>
      <c r="T51">
        <v>211.244781822699</v>
      </c>
      <c r="U51">
        <v>1E-3</v>
      </c>
      <c r="V51">
        <v>501.37167529971998</v>
      </c>
    </row>
    <row r="52" spans="1:22" x14ac:dyDescent="0.2">
      <c r="A52">
        <v>6004</v>
      </c>
      <c r="B52">
        <v>18</v>
      </c>
      <c r="C52">
        <v>0</v>
      </c>
      <c r="D52">
        <v>172.22106066021601</v>
      </c>
      <c r="E52">
        <v>0</v>
      </c>
      <c r="F52">
        <v>310.45112250591598</v>
      </c>
      <c r="G52">
        <v>0</v>
      </c>
      <c r="H52">
        <v>0</v>
      </c>
      <c r="I52">
        <v>49.490109856986798</v>
      </c>
      <c r="J52">
        <v>4.38023132703945</v>
      </c>
      <c r="K52">
        <v>573.14717728167295</v>
      </c>
      <c r="L52">
        <v>0</v>
      </c>
      <c r="M52">
        <v>2887.10534954491</v>
      </c>
      <c r="N52">
        <v>1013.0865247374001</v>
      </c>
      <c r="O52">
        <v>123.16744925882701</v>
      </c>
      <c r="P52">
        <v>734.04324030235796</v>
      </c>
      <c r="Q52">
        <v>114.876703895389</v>
      </c>
      <c r="R52">
        <v>0</v>
      </c>
      <c r="S52">
        <v>1908.46028897931</v>
      </c>
      <c r="T52">
        <v>206.41994435030099</v>
      </c>
      <c r="U52">
        <v>1E-3</v>
      </c>
      <c r="V52">
        <v>557.52309074102402</v>
      </c>
    </row>
    <row r="53" spans="1:22" x14ac:dyDescent="0.2">
      <c r="A53">
        <v>6004</v>
      </c>
      <c r="B53">
        <v>19</v>
      </c>
      <c r="C53">
        <v>0</v>
      </c>
      <c r="D53">
        <v>212.60330187371099</v>
      </c>
      <c r="E53">
        <v>0</v>
      </c>
      <c r="F53">
        <v>328.85130611459999</v>
      </c>
      <c r="G53">
        <v>0</v>
      </c>
      <c r="H53">
        <v>0</v>
      </c>
      <c r="I53">
        <v>59.600226756958897</v>
      </c>
      <c r="J53">
        <v>4.23209472400168</v>
      </c>
      <c r="K53">
        <v>565.94330349253096</v>
      </c>
      <c r="L53">
        <v>0</v>
      </c>
      <c r="M53">
        <v>2818.5762019447002</v>
      </c>
      <c r="N53">
        <v>1165.0432942632599</v>
      </c>
      <c r="O53">
        <v>129.55641354380501</v>
      </c>
      <c r="P53">
        <v>716.92553308923902</v>
      </c>
      <c r="Q53">
        <v>114.876703895389</v>
      </c>
      <c r="R53">
        <v>0</v>
      </c>
      <c r="S53">
        <v>1844.87656059189</v>
      </c>
      <c r="T53">
        <v>229.92262868586499</v>
      </c>
      <c r="U53">
        <v>1E-3</v>
      </c>
      <c r="V53">
        <v>540.08625281734203</v>
      </c>
    </row>
    <row r="54" spans="1:22" x14ac:dyDescent="0.2">
      <c r="A54">
        <v>6004</v>
      </c>
      <c r="B54">
        <v>20</v>
      </c>
      <c r="C54">
        <v>0</v>
      </c>
      <c r="D54">
        <v>254.828336068109</v>
      </c>
      <c r="E54">
        <v>0</v>
      </c>
      <c r="F54">
        <v>342.00645103877798</v>
      </c>
      <c r="G54">
        <v>0</v>
      </c>
      <c r="H54">
        <v>0</v>
      </c>
      <c r="I54">
        <v>70.653816832621402</v>
      </c>
      <c r="J54">
        <v>4.13543354585582</v>
      </c>
      <c r="K54">
        <v>558.49831993724399</v>
      </c>
      <c r="L54">
        <v>0</v>
      </c>
      <c r="M54">
        <v>2771.1570940711399</v>
      </c>
      <c r="N54">
        <v>1336.0635536371301</v>
      </c>
      <c r="O54">
        <v>135.88293902219101</v>
      </c>
      <c r="P54">
        <v>699.33455473920696</v>
      </c>
      <c r="Q54">
        <v>114.876703895389</v>
      </c>
      <c r="R54">
        <v>0</v>
      </c>
      <c r="S54">
        <v>1779.1647191460199</v>
      </c>
      <c r="T54">
        <v>224.671188598615</v>
      </c>
      <c r="U54">
        <v>1E-3</v>
      </c>
      <c r="V54">
        <v>595.97337884168405</v>
      </c>
    </row>
    <row r="55" spans="1:22" x14ac:dyDescent="0.2">
      <c r="A55">
        <v>6004</v>
      </c>
      <c r="B55">
        <v>21</v>
      </c>
      <c r="C55">
        <v>0</v>
      </c>
      <c r="D55">
        <v>298.48136248660398</v>
      </c>
      <c r="E55">
        <v>0</v>
      </c>
      <c r="F55">
        <v>350.60849038498202</v>
      </c>
      <c r="G55">
        <v>0</v>
      </c>
      <c r="H55">
        <v>0</v>
      </c>
      <c r="I55">
        <v>82.653369823435895</v>
      </c>
      <c r="J55">
        <v>3.5400321525097702</v>
      </c>
      <c r="K55">
        <v>550.77711654476298</v>
      </c>
      <c r="L55">
        <v>0</v>
      </c>
      <c r="M55">
        <v>2685.5650109697399</v>
      </c>
      <c r="N55">
        <v>1500.2192429331201</v>
      </c>
      <c r="O55">
        <v>142.13065659378501</v>
      </c>
      <c r="P55">
        <v>682.91513221290802</v>
      </c>
      <c r="Q55">
        <v>114.876703895389</v>
      </c>
      <c r="R55">
        <v>0</v>
      </c>
      <c r="S55">
        <v>1695.5452608835899</v>
      </c>
      <c r="T55">
        <v>219.539691558172</v>
      </c>
      <c r="U55">
        <v>1E-3</v>
      </c>
      <c r="V55">
        <v>650.73655289402996</v>
      </c>
    </row>
    <row r="56" spans="1:22" x14ac:dyDescent="0.2">
      <c r="A56">
        <v>6004</v>
      </c>
      <c r="B56">
        <v>22</v>
      </c>
      <c r="C56">
        <v>0</v>
      </c>
      <c r="D56">
        <v>343.20574664326</v>
      </c>
      <c r="E56">
        <v>0</v>
      </c>
      <c r="F56">
        <v>355.24805354302299</v>
      </c>
      <c r="G56">
        <v>0</v>
      </c>
      <c r="H56">
        <v>0</v>
      </c>
      <c r="I56">
        <v>95.647244031075005</v>
      </c>
      <c r="J56">
        <v>3.4591777053213901</v>
      </c>
      <c r="K56">
        <v>542.80427781372998</v>
      </c>
      <c r="L56">
        <v>0</v>
      </c>
      <c r="M56">
        <v>2613.1403461313498</v>
      </c>
      <c r="N56">
        <v>1679.8274244700799</v>
      </c>
      <c r="O56">
        <v>148.32741206326801</v>
      </c>
      <c r="P56">
        <v>655.36085642421904</v>
      </c>
      <c r="Q56">
        <v>114.876703895389</v>
      </c>
      <c r="R56">
        <v>0</v>
      </c>
      <c r="S56">
        <v>1625.17439831869</v>
      </c>
      <c r="T56">
        <v>214.52539806309301</v>
      </c>
      <c r="U56">
        <v>1E-3</v>
      </c>
      <c r="V56">
        <v>704.59652668927697</v>
      </c>
    </row>
    <row r="57" spans="1:22" x14ac:dyDescent="0.2">
      <c r="A57">
        <v>6004</v>
      </c>
      <c r="B57">
        <v>23</v>
      </c>
      <c r="C57">
        <v>0</v>
      </c>
      <c r="D57">
        <v>388.69465762162002</v>
      </c>
      <c r="E57">
        <v>0</v>
      </c>
      <c r="F57">
        <v>356.434574701607</v>
      </c>
      <c r="G57">
        <v>0</v>
      </c>
      <c r="H57">
        <v>0</v>
      </c>
      <c r="I57">
        <v>107.986875158001</v>
      </c>
      <c r="J57">
        <v>2.8460393493501299</v>
      </c>
      <c r="K57">
        <v>438.05912701637601</v>
      </c>
      <c r="L57">
        <v>0</v>
      </c>
      <c r="M57">
        <v>2538.0936315293002</v>
      </c>
      <c r="N57">
        <v>1870.5290460613901</v>
      </c>
      <c r="O57">
        <v>154.485401356029</v>
      </c>
      <c r="P57">
        <v>639.85371760611304</v>
      </c>
      <c r="Q57">
        <v>114.876703895389</v>
      </c>
      <c r="R57">
        <v>0</v>
      </c>
      <c r="S57">
        <v>1552.55880151472</v>
      </c>
      <c r="T57">
        <v>209.625631182673</v>
      </c>
      <c r="U57">
        <v>1E-3</v>
      </c>
      <c r="V57">
        <v>757.64497291360101</v>
      </c>
    </row>
    <row r="58" spans="1:22" x14ac:dyDescent="0.2">
      <c r="A58">
        <v>6004</v>
      </c>
      <c r="B58">
        <v>24</v>
      </c>
      <c r="C58">
        <v>0</v>
      </c>
      <c r="D58">
        <v>434.65897717363401</v>
      </c>
      <c r="E58">
        <v>0</v>
      </c>
      <c r="F58">
        <v>356.434574701607</v>
      </c>
      <c r="G58">
        <v>0</v>
      </c>
      <c r="H58">
        <v>0</v>
      </c>
      <c r="I58">
        <v>121.172758439815</v>
      </c>
      <c r="J58">
        <v>2.1344643991660699</v>
      </c>
      <c r="K58">
        <v>429.54728311336203</v>
      </c>
      <c r="L58">
        <v>0</v>
      </c>
      <c r="M58">
        <v>2404.3769739846198</v>
      </c>
      <c r="N58">
        <v>2040.8040679774499</v>
      </c>
      <c r="O58">
        <v>160.59151029315601</v>
      </c>
      <c r="P58">
        <v>624.65168332163398</v>
      </c>
      <c r="Q58">
        <v>114.876703895389</v>
      </c>
      <c r="R58">
        <v>0</v>
      </c>
      <c r="S58">
        <v>1477.4305043447901</v>
      </c>
      <c r="T58">
        <v>204.837775169417</v>
      </c>
      <c r="U58">
        <v>1E-3</v>
      </c>
      <c r="V58">
        <v>810.19156875283397</v>
      </c>
    </row>
    <row r="59" spans="1:22" x14ac:dyDescent="0.2">
      <c r="A59">
        <v>6004</v>
      </c>
      <c r="B59">
        <v>25</v>
      </c>
      <c r="C59">
        <v>0</v>
      </c>
      <c r="D59">
        <v>480.81007536171597</v>
      </c>
      <c r="E59">
        <v>0</v>
      </c>
      <c r="F59">
        <v>356.434574701607</v>
      </c>
      <c r="G59">
        <v>0</v>
      </c>
      <c r="H59">
        <v>0</v>
      </c>
      <c r="I59">
        <v>134.87828596353199</v>
      </c>
      <c r="J59">
        <v>1.3054737457809</v>
      </c>
      <c r="K59">
        <v>229.17325718329701</v>
      </c>
      <c r="L59">
        <v>0</v>
      </c>
      <c r="M59">
        <v>2242.0271804007898</v>
      </c>
      <c r="N59">
        <v>2234.7784207812902</v>
      </c>
      <c r="O59">
        <v>166.62538890520901</v>
      </c>
      <c r="P59">
        <v>609.74409350401004</v>
      </c>
      <c r="Q59">
        <v>114.876703895389</v>
      </c>
      <c r="R59">
        <v>0</v>
      </c>
      <c r="S59">
        <v>1399.5189340567899</v>
      </c>
      <c r="T59">
        <v>200.159273906339</v>
      </c>
      <c r="U59">
        <v>1E-3</v>
      </c>
      <c r="V59">
        <v>975.36672029684701</v>
      </c>
    </row>
    <row r="60" spans="1:22" x14ac:dyDescent="0.2">
      <c r="A60">
        <v>6004</v>
      </c>
      <c r="B60">
        <v>26</v>
      </c>
      <c r="C60">
        <v>0</v>
      </c>
      <c r="D60">
        <v>536.50117399118005</v>
      </c>
      <c r="E60">
        <v>0</v>
      </c>
      <c r="F60">
        <v>356.434574701607</v>
      </c>
      <c r="G60">
        <v>0</v>
      </c>
      <c r="H60">
        <v>0</v>
      </c>
      <c r="I60">
        <v>149.356887965038</v>
      </c>
      <c r="J60">
        <v>2.2333927654269399</v>
      </c>
      <c r="K60">
        <v>219.93893892549701</v>
      </c>
      <c r="L60">
        <v>0</v>
      </c>
      <c r="M60">
        <v>2127.29781521939</v>
      </c>
      <c r="N60">
        <v>2445.1312737900598</v>
      </c>
      <c r="O60">
        <v>172.48031775434501</v>
      </c>
      <c r="P60">
        <v>594.657208855455</v>
      </c>
      <c r="Q60">
        <v>114.876703895389</v>
      </c>
      <c r="R60">
        <v>0</v>
      </c>
      <c r="S60">
        <v>1286.1934414928601</v>
      </c>
      <c r="T60">
        <v>195.58762978372101</v>
      </c>
      <c r="U60">
        <v>1E-3</v>
      </c>
      <c r="V60">
        <v>953.08931363413899</v>
      </c>
    </row>
    <row r="61" spans="1:22" x14ac:dyDescent="0.2">
      <c r="A61">
        <v>6004</v>
      </c>
      <c r="B61">
        <v>27</v>
      </c>
      <c r="C61">
        <v>0</v>
      </c>
      <c r="D61">
        <v>596.46822561224201</v>
      </c>
      <c r="E61">
        <v>0</v>
      </c>
      <c r="F61">
        <v>356.434574701607</v>
      </c>
      <c r="G61">
        <v>0</v>
      </c>
      <c r="H61">
        <v>0</v>
      </c>
      <c r="I61">
        <v>164.526899833931</v>
      </c>
      <c r="J61">
        <v>1.0393729044569999</v>
      </c>
      <c r="K61">
        <v>210.30963556127099</v>
      </c>
      <c r="L61">
        <v>0</v>
      </c>
      <c r="M61">
        <v>2000.0729062027399</v>
      </c>
      <c r="N61">
        <v>2656.8767816630998</v>
      </c>
      <c r="O61">
        <v>178.14724517200901</v>
      </c>
      <c r="P61">
        <v>580.30791899266399</v>
      </c>
      <c r="Q61">
        <v>114.876703895389</v>
      </c>
      <c r="R61">
        <v>0</v>
      </c>
      <c r="S61">
        <v>1201.20208439917</v>
      </c>
      <c r="T61">
        <v>194.13920474784399</v>
      </c>
      <c r="U61">
        <v>1E-3</v>
      </c>
      <c r="V61">
        <v>922.34924377542495</v>
      </c>
    </row>
    <row r="62" spans="1:22" x14ac:dyDescent="0.2">
      <c r="A62">
        <v>6004</v>
      </c>
      <c r="B62">
        <v>28</v>
      </c>
      <c r="C62">
        <v>0</v>
      </c>
      <c r="D62">
        <v>616.76103049510402</v>
      </c>
      <c r="E62">
        <v>0</v>
      </c>
      <c r="F62">
        <v>356.434574701607</v>
      </c>
      <c r="G62">
        <v>0</v>
      </c>
      <c r="H62">
        <v>0</v>
      </c>
      <c r="I62">
        <v>180.36895582653699</v>
      </c>
      <c r="J62">
        <v>1.01563359489496</v>
      </c>
      <c r="K62">
        <v>200.28029580197901</v>
      </c>
      <c r="L62">
        <v>0</v>
      </c>
      <c r="M62">
        <v>1869.9454753743901</v>
      </c>
      <c r="N62">
        <v>2850.5444707329998</v>
      </c>
      <c r="O62">
        <v>183.58928694596599</v>
      </c>
      <c r="P62">
        <v>566.22170918137203</v>
      </c>
      <c r="Q62">
        <v>114.876703895389</v>
      </c>
      <c r="R62">
        <v>0</v>
      </c>
      <c r="S62">
        <v>1112.6798762337301</v>
      </c>
      <c r="T62">
        <v>201.00171906441</v>
      </c>
      <c r="U62">
        <v>1E-3</v>
      </c>
      <c r="V62">
        <v>929.92265370764903</v>
      </c>
    </row>
    <row r="63" spans="1:22" x14ac:dyDescent="0.2">
      <c r="A63">
        <v>6004</v>
      </c>
      <c r="B63">
        <v>29</v>
      </c>
      <c r="C63">
        <v>0</v>
      </c>
      <c r="D63">
        <v>660.50937018988395</v>
      </c>
      <c r="E63">
        <v>0</v>
      </c>
      <c r="F63">
        <v>356.434574701607</v>
      </c>
      <c r="G63">
        <v>0</v>
      </c>
      <c r="H63">
        <v>0</v>
      </c>
      <c r="I63">
        <v>196.87766074963099</v>
      </c>
      <c r="J63">
        <v>0.99243649135890599</v>
      </c>
      <c r="K63">
        <v>146.052615131615</v>
      </c>
      <c r="L63">
        <v>0</v>
      </c>
      <c r="M63">
        <v>1731.9283467318701</v>
      </c>
      <c r="N63">
        <v>3066.15549980068</v>
      </c>
      <c r="O63">
        <v>188.82285513339599</v>
      </c>
      <c r="P63">
        <v>552.28438574118002</v>
      </c>
      <c r="Q63">
        <v>114.876703895389</v>
      </c>
      <c r="R63">
        <v>0</v>
      </c>
      <c r="S63">
        <v>1018.4311231737</v>
      </c>
      <c r="T63">
        <v>201.29764140560999</v>
      </c>
      <c r="U63">
        <v>1E-3</v>
      </c>
      <c r="V63">
        <v>949.97950185834497</v>
      </c>
    </row>
    <row r="64" spans="1:22" x14ac:dyDescent="0.2">
      <c r="A64">
        <v>6004</v>
      </c>
      <c r="B64">
        <v>30</v>
      </c>
      <c r="C64">
        <v>0</v>
      </c>
      <c r="D64">
        <v>759.62575318392396</v>
      </c>
      <c r="E64">
        <v>0</v>
      </c>
      <c r="F64">
        <v>356.434574701607</v>
      </c>
      <c r="G64">
        <v>0</v>
      </c>
      <c r="H64">
        <v>0</v>
      </c>
      <c r="I64">
        <v>214.04840703659801</v>
      </c>
      <c r="J64">
        <v>0</v>
      </c>
      <c r="K64">
        <v>135.29326800054301</v>
      </c>
      <c r="L64">
        <v>0</v>
      </c>
      <c r="M64">
        <v>1557.40469377317</v>
      </c>
      <c r="N64">
        <v>3321.4321800207799</v>
      </c>
      <c r="O64">
        <v>193.81286851114001</v>
      </c>
      <c r="P64">
        <v>537.63039004152995</v>
      </c>
      <c r="Q64">
        <v>101.74248453</v>
      </c>
      <c r="R64">
        <v>0</v>
      </c>
      <c r="S64">
        <v>915.63291859773005</v>
      </c>
      <c r="T64">
        <v>204.508930176582</v>
      </c>
      <c r="U64">
        <v>1E-3</v>
      </c>
      <c r="V64">
        <v>970.35910532564799</v>
      </c>
    </row>
    <row r="65" spans="1:24" x14ac:dyDescent="0.2">
      <c r="A65">
        <v>6004</v>
      </c>
      <c r="B65">
        <v>31</v>
      </c>
      <c r="C65">
        <v>0</v>
      </c>
      <c r="D65">
        <v>812.74165137768796</v>
      </c>
      <c r="E65">
        <v>0</v>
      </c>
      <c r="F65">
        <v>356.434574701607</v>
      </c>
      <c r="G65">
        <v>0</v>
      </c>
      <c r="H65">
        <v>0</v>
      </c>
      <c r="I65">
        <v>231.794118908282</v>
      </c>
      <c r="J65">
        <v>0</v>
      </c>
      <c r="K65">
        <v>124.181091427016</v>
      </c>
      <c r="L65">
        <v>0</v>
      </c>
      <c r="M65">
        <v>1403.4195415122499</v>
      </c>
      <c r="N65">
        <v>3517.9720859620802</v>
      </c>
      <c r="O65">
        <v>198.52705780300201</v>
      </c>
      <c r="P65">
        <v>524.33102420280898</v>
      </c>
      <c r="Q65">
        <v>101.74248453</v>
      </c>
      <c r="R65">
        <v>0</v>
      </c>
      <c r="S65">
        <v>810.45484380279595</v>
      </c>
      <c r="T65">
        <v>207.434166592727</v>
      </c>
      <c r="U65">
        <v>1E-3</v>
      </c>
      <c r="V65">
        <v>986.19684585571304</v>
      </c>
    </row>
    <row r="66" spans="1:24" x14ac:dyDescent="0.2">
      <c r="A66">
        <v>6004</v>
      </c>
      <c r="B66">
        <v>32</v>
      </c>
      <c r="C66">
        <v>0</v>
      </c>
      <c r="D66">
        <v>818.50904666816996</v>
      </c>
      <c r="E66">
        <v>0</v>
      </c>
      <c r="F66">
        <v>356.434574701607</v>
      </c>
      <c r="G66">
        <v>0</v>
      </c>
      <c r="H66">
        <v>0</v>
      </c>
      <c r="I66">
        <v>250.159711487923</v>
      </c>
      <c r="J66">
        <v>0</v>
      </c>
      <c r="K66">
        <v>112.743625547276</v>
      </c>
      <c r="L66">
        <v>0</v>
      </c>
      <c r="M66">
        <v>1241.7483780586399</v>
      </c>
      <c r="N66">
        <v>3736.7274697341199</v>
      </c>
      <c r="O66">
        <v>202.95862139393299</v>
      </c>
      <c r="P66">
        <v>511.15014169452502</v>
      </c>
      <c r="Q66">
        <v>101.74248453</v>
      </c>
      <c r="R66">
        <v>0</v>
      </c>
      <c r="S66">
        <v>696.04157956859297</v>
      </c>
      <c r="T66">
        <v>210.07102876481201</v>
      </c>
      <c r="U66">
        <v>1E-3</v>
      </c>
      <c r="V66">
        <v>1005.77488190079</v>
      </c>
    </row>
    <row r="67" spans="1:24" x14ac:dyDescent="0.2">
      <c r="A67">
        <v>6004</v>
      </c>
      <c r="B67">
        <v>33</v>
      </c>
      <c r="C67">
        <v>0</v>
      </c>
      <c r="D67">
        <v>859.15722083670801</v>
      </c>
      <c r="E67">
        <v>0</v>
      </c>
      <c r="F67">
        <v>356.434574701607</v>
      </c>
      <c r="G67">
        <v>0</v>
      </c>
      <c r="H67">
        <v>0</v>
      </c>
      <c r="I67">
        <v>269.14933440021701</v>
      </c>
      <c r="J67">
        <v>0</v>
      </c>
      <c r="K67">
        <v>101.01349037232001</v>
      </c>
      <c r="L67">
        <v>0</v>
      </c>
      <c r="M67">
        <v>1053.0000834565501</v>
      </c>
      <c r="N67">
        <v>3966.7058680943601</v>
      </c>
      <c r="O67">
        <v>207.11671881161399</v>
      </c>
      <c r="P67">
        <v>498.27080961119799</v>
      </c>
      <c r="Q67">
        <v>101.74248453</v>
      </c>
      <c r="R67">
        <v>0</v>
      </c>
      <c r="S67">
        <v>592.50759899882405</v>
      </c>
      <c r="T67">
        <v>212.43341580457701</v>
      </c>
      <c r="U67">
        <v>1E-3</v>
      </c>
      <c r="V67">
        <v>1041.21813475878</v>
      </c>
    </row>
    <row r="68" spans="1:24" x14ac:dyDescent="0.2">
      <c r="A68">
        <v>6004</v>
      </c>
      <c r="B68">
        <v>34</v>
      </c>
      <c r="C68">
        <v>0</v>
      </c>
      <c r="D68">
        <v>859.15722083670801</v>
      </c>
      <c r="E68">
        <v>0</v>
      </c>
      <c r="F68">
        <v>356.434574701607</v>
      </c>
      <c r="G68">
        <v>0</v>
      </c>
      <c r="H68">
        <v>0</v>
      </c>
      <c r="I68">
        <v>288.77593728546799</v>
      </c>
      <c r="J68">
        <v>0</v>
      </c>
      <c r="K68">
        <v>89.021731614582706</v>
      </c>
      <c r="L68">
        <v>0</v>
      </c>
      <c r="M68">
        <v>877.06931893119497</v>
      </c>
      <c r="N68">
        <v>4199.8049848907403</v>
      </c>
      <c r="O68">
        <v>211.018314699613</v>
      </c>
      <c r="P68">
        <v>485.69347689711998</v>
      </c>
      <c r="Q68">
        <v>101.74248453</v>
      </c>
      <c r="R68">
        <v>0</v>
      </c>
      <c r="S68">
        <v>474.71955431645802</v>
      </c>
      <c r="T68">
        <v>214.54248269938</v>
      </c>
      <c r="U68">
        <v>1E-3</v>
      </c>
      <c r="V68">
        <v>1044.7588916565601</v>
      </c>
    </row>
    <row r="69" spans="1:24" x14ac:dyDescent="0.2">
      <c r="A69">
        <v>6004</v>
      </c>
      <c r="B69">
        <v>35</v>
      </c>
      <c r="C69">
        <v>0</v>
      </c>
      <c r="D69">
        <v>929.28667729049596</v>
      </c>
      <c r="E69">
        <v>0</v>
      </c>
      <c r="F69">
        <v>356.434574701607</v>
      </c>
      <c r="G69">
        <v>0</v>
      </c>
      <c r="H69">
        <v>0</v>
      </c>
      <c r="I69">
        <v>309.04942493239997</v>
      </c>
      <c r="J69">
        <v>0</v>
      </c>
      <c r="K69">
        <v>76.792717794646293</v>
      </c>
      <c r="L69">
        <v>0</v>
      </c>
      <c r="M69">
        <v>669.30672326874401</v>
      </c>
      <c r="N69">
        <v>4436.4856407420302</v>
      </c>
      <c r="O69">
        <v>214.67023009411599</v>
      </c>
      <c r="P69">
        <v>473.34790322457798</v>
      </c>
      <c r="Q69">
        <v>101.74248453</v>
      </c>
      <c r="R69">
        <v>0</v>
      </c>
      <c r="S69">
        <v>366.78230889375601</v>
      </c>
      <c r="T69">
        <v>216.460545764264</v>
      </c>
      <c r="U69">
        <v>1E-3</v>
      </c>
      <c r="V69">
        <v>1071.9723465270199</v>
      </c>
    </row>
    <row r="70" spans="1:24" x14ac:dyDescent="0.2">
      <c r="A70">
        <v>6004</v>
      </c>
      <c r="B70">
        <v>36</v>
      </c>
      <c r="C70">
        <v>0</v>
      </c>
      <c r="D70">
        <v>929.28667729049596</v>
      </c>
      <c r="E70">
        <v>0</v>
      </c>
      <c r="F70">
        <v>356.434574701607</v>
      </c>
      <c r="G70">
        <v>0</v>
      </c>
      <c r="H70">
        <v>0</v>
      </c>
      <c r="I70">
        <v>329.31101986285898</v>
      </c>
      <c r="J70">
        <v>0</v>
      </c>
      <c r="K70">
        <v>64.377881497009994</v>
      </c>
      <c r="L70">
        <v>0</v>
      </c>
      <c r="M70">
        <v>480.74974912616898</v>
      </c>
      <c r="N70">
        <v>4682.3054857670104</v>
      </c>
      <c r="O70">
        <v>222.86439580727401</v>
      </c>
      <c r="P70">
        <v>471.94509746136998</v>
      </c>
      <c r="Q70">
        <v>101.74248453</v>
      </c>
      <c r="R70">
        <v>0</v>
      </c>
      <c r="S70">
        <v>257.20493396626603</v>
      </c>
      <c r="T70">
        <v>223.92886027878899</v>
      </c>
      <c r="U70">
        <v>1E-3</v>
      </c>
      <c r="V70">
        <v>1132.63518775937</v>
      </c>
    </row>
    <row r="71" spans="1:24" x14ac:dyDescent="0.2">
      <c r="A71">
        <v>6004</v>
      </c>
      <c r="B71">
        <v>37</v>
      </c>
      <c r="C71">
        <v>0</v>
      </c>
      <c r="D71">
        <v>965.54115472755598</v>
      </c>
      <c r="E71">
        <v>0</v>
      </c>
      <c r="F71">
        <v>356.434574701607</v>
      </c>
      <c r="G71">
        <v>0</v>
      </c>
      <c r="H71">
        <v>0</v>
      </c>
      <c r="I71">
        <v>350.11495466797601</v>
      </c>
      <c r="J71">
        <v>0</v>
      </c>
      <c r="K71">
        <v>51.731032559617702</v>
      </c>
      <c r="L71">
        <v>0</v>
      </c>
      <c r="M71">
        <v>285.44067867957301</v>
      </c>
      <c r="N71">
        <v>4929.0921889322199</v>
      </c>
      <c r="O71">
        <v>230.89606801916599</v>
      </c>
      <c r="P71">
        <v>470.51812181734601</v>
      </c>
      <c r="Q71">
        <v>101.74248453</v>
      </c>
      <c r="R71">
        <v>0</v>
      </c>
      <c r="S71">
        <v>137.74702577850999</v>
      </c>
      <c r="T71">
        <v>231.151115108418</v>
      </c>
      <c r="U71">
        <v>1E-3</v>
      </c>
      <c r="V71">
        <v>1241.0930740533099</v>
      </c>
    </row>
    <row r="72" spans="1:24" x14ac:dyDescent="0.2">
      <c r="A72">
        <v>6004</v>
      </c>
      <c r="B72">
        <v>38</v>
      </c>
      <c r="C72">
        <v>0</v>
      </c>
      <c r="D72">
        <v>1017.76413938415</v>
      </c>
      <c r="E72">
        <v>0</v>
      </c>
      <c r="F72">
        <v>356.434574701607</v>
      </c>
      <c r="G72">
        <v>0</v>
      </c>
      <c r="H72">
        <v>0</v>
      </c>
      <c r="I72">
        <v>371.42660047484401</v>
      </c>
      <c r="J72">
        <v>0</v>
      </c>
      <c r="K72">
        <v>38.897300063539298</v>
      </c>
      <c r="L72">
        <v>0</v>
      </c>
      <c r="M72">
        <v>81.523206077330101</v>
      </c>
      <c r="N72">
        <v>5272.3179753168497</v>
      </c>
      <c r="O72">
        <v>238.749003174336</v>
      </c>
      <c r="P72">
        <v>469.07119388464702</v>
      </c>
      <c r="Q72">
        <v>101.74248453</v>
      </c>
      <c r="R72">
        <v>0</v>
      </c>
      <c r="S72">
        <v>24.4723370329441</v>
      </c>
      <c r="T72">
        <v>239.29998898145399</v>
      </c>
      <c r="U72">
        <v>1E-3</v>
      </c>
      <c r="V72">
        <v>1415.9910397758899</v>
      </c>
    </row>
    <row r="73" spans="1:24" x14ac:dyDescent="0.2">
      <c r="A73">
        <v>6004</v>
      </c>
      <c r="B73">
        <v>39</v>
      </c>
      <c r="C73">
        <v>0</v>
      </c>
      <c r="D73">
        <v>1050.28743478157</v>
      </c>
      <c r="E73">
        <v>0</v>
      </c>
      <c r="F73">
        <v>356.434574701607</v>
      </c>
      <c r="G73">
        <v>0</v>
      </c>
      <c r="H73">
        <v>0</v>
      </c>
      <c r="I73">
        <v>393.24268280124198</v>
      </c>
      <c r="J73">
        <v>0</v>
      </c>
      <c r="K73">
        <v>38.897300063539298</v>
      </c>
      <c r="L73">
        <v>0</v>
      </c>
      <c r="M73">
        <v>81.523206077330101</v>
      </c>
      <c r="N73">
        <v>5470.6654853610398</v>
      </c>
      <c r="O73">
        <v>246.23384514589699</v>
      </c>
      <c r="P73">
        <v>469.07119388464702</v>
      </c>
      <c r="Q73">
        <v>101.74248453</v>
      </c>
      <c r="R73">
        <v>0</v>
      </c>
      <c r="S73">
        <v>24.4723370329441</v>
      </c>
      <c r="T73">
        <v>249.07255089053899</v>
      </c>
      <c r="U73">
        <v>1E-3</v>
      </c>
      <c r="V73">
        <v>1415.9910397758899</v>
      </c>
    </row>
    <row r="74" spans="1:24" x14ac:dyDescent="0.2">
      <c r="A74">
        <v>6004</v>
      </c>
      <c r="B74">
        <v>40</v>
      </c>
      <c r="C74">
        <v>0</v>
      </c>
      <c r="D74">
        <v>1079.6017125396199</v>
      </c>
      <c r="E74">
        <v>0</v>
      </c>
      <c r="F74">
        <v>356.434574701607</v>
      </c>
      <c r="G74">
        <v>0</v>
      </c>
      <c r="H74">
        <v>0</v>
      </c>
      <c r="I74">
        <v>415.52395033243499</v>
      </c>
      <c r="J74">
        <v>0</v>
      </c>
      <c r="K74">
        <v>38.897300063539298</v>
      </c>
      <c r="L74">
        <v>0</v>
      </c>
      <c r="M74">
        <v>81.523206077330101</v>
      </c>
      <c r="N74">
        <v>5742.1796192021502</v>
      </c>
      <c r="O74">
        <v>253.37871369411499</v>
      </c>
      <c r="P74">
        <v>469.07119388464702</v>
      </c>
      <c r="Q74">
        <v>101.74248453</v>
      </c>
      <c r="R74">
        <v>0</v>
      </c>
      <c r="S74">
        <v>17.129167288767398</v>
      </c>
      <c r="T74">
        <v>258.50501764382102</v>
      </c>
      <c r="U74">
        <v>1E-3</v>
      </c>
      <c r="V74">
        <v>1288.0036822928801</v>
      </c>
    </row>
    <row r="75" spans="1:24" x14ac:dyDescent="0.2">
      <c r="A75">
        <v>6004</v>
      </c>
      <c r="B75">
        <v>41</v>
      </c>
      <c r="C75">
        <v>0</v>
      </c>
      <c r="D75">
        <v>1105.42577750646</v>
      </c>
      <c r="E75">
        <v>0</v>
      </c>
      <c r="F75">
        <v>356.434574701607</v>
      </c>
      <c r="G75">
        <v>0</v>
      </c>
      <c r="H75">
        <v>0</v>
      </c>
      <c r="I75">
        <v>438.267500888401</v>
      </c>
      <c r="J75">
        <v>0</v>
      </c>
      <c r="K75">
        <v>38.897300063539298</v>
      </c>
      <c r="L75">
        <v>0</v>
      </c>
      <c r="M75">
        <v>81.523206077330101</v>
      </c>
      <c r="N75">
        <v>5953.5778491069204</v>
      </c>
      <c r="O75">
        <v>276.817171939221</v>
      </c>
      <c r="P75">
        <v>469.07119388464702</v>
      </c>
      <c r="Q75">
        <v>101.74248453</v>
      </c>
      <c r="R75">
        <v>0</v>
      </c>
      <c r="S75">
        <v>17.129167288767398</v>
      </c>
      <c r="T75">
        <v>262.66950639135501</v>
      </c>
      <c r="U75">
        <v>1E-3</v>
      </c>
      <c r="V75">
        <v>1238.5250025289999</v>
      </c>
    </row>
    <row r="76" spans="1:24" x14ac:dyDescent="0.2">
      <c r="A76">
        <v>6004</v>
      </c>
      <c r="B76">
        <v>42</v>
      </c>
      <c r="C76">
        <v>0</v>
      </c>
      <c r="D76">
        <v>1127.57552514023</v>
      </c>
      <c r="E76">
        <v>0</v>
      </c>
      <c r="F76">
        <v>356.434574701607</v>
      </c>
      <c r="G76">
        <v>0</v>
      </c>
      <c r="H76">
        <v>0</v>
      </c>
      <c r="I76">
        <v>463.04013443911401</v>
      </c>
      <c r="J76">
        <v>0</v>
      </c>
      <c r="K76">
        <v>38.897300063539298</v>
      </c>
      <c r="L76">
        <v>0</v>
      </c>
      <c r="M76">
        <v>81.523206077330101</v>
      </c>
      <c r="N76">
        <v>6160.5578533283797</v>
      </c>
      <c r="O76">
        <v>292.10527337547302</v>
      </c>
      <c r="P76">
        <v>469.07119388464702</v>
      </c>
      <c r="Q76">
        <v>101.74248453</v>
      </c>
      <c r="R76">
        <v>0</v>
      </c>
      <c r="S76">
        <v>17.129167288767398</v>
      </c>
      <c r="T76">
        <v>270.03050533961999</v>
      </c>
      <c r="U76">
        <v>1E-3</v>
      </c>
      <c r="V76">
        <v>1187.58461668521</v>
      </c>
    </row>
    <row r="77" spans="1:24" x14ac:dyDescent="0.2">
      <c r="A77">
        <v>6004</v>
      </c>
      <c r="B77">
        <v>43</v>
      </c>
      <c r="C77">
        <v>0</v>
      </c>
      <c r="D77">
        <v>1146.36906485029</v>
      </c>
      <c r="E77">
        <v>0</v>
      </c>
      <c r="F77">
        <v>356.434574701607</v>
      </c>
      <c r="G77">
        <v>0</v>
      </c>
      <c r="H77">
        <v>0</v>
      </c>
      <c r="I77">
        <v>487.86312057211001</v>
      </c>
      <c r="J77">
        <v>0</v>
      </c>
      <c r="K77">
        <v>38.897300063539298</v>
      </c>
      <c r="L77">
        <v>0</v>
      </c>
      <c r="M77">
        <v>81.523206077330101</v>
      </c>
      <c r="N77">
        <v>6358.35505464369</v>
      </c>
      <c r="O77">
        <v>322.08189487044302</v>
      </c>
      <c r="P77">
        <v>469.07119388464702</v>
      </c>
      <c r="Q77">
        <v>101.74248453</v>
      </c>
      <c r="R77">
        <v>0</v>
      </c>
      <c r="S77">
        <v>17.129167288767398</v>
      </c>
      <c r="T77">
        <v>279.25524849916798</v>
      </c>
      <c r="U77">
        <v>1E-3</v>
      </c>
      <c r="V77">
        <v>1131.9356303745501</v>
      </c>
    </row>
    <row r="78" spans="1:24" x14ac:dyDescent="0.2">
      <c r="A78">
        <v>6004</v>
      </c>
      <c r="B78">
        <v>44</v>
      </c>
      <c r="C78">
        <v>0</v>
      </c>
      <c r="D78">
        <v>1160.69013595455</v>
      </c>
      <c r="E78">
        <v>0</v>
      </c>
      <c r="F78">
        <v>356.434574701607</v>
      </c>
      <c r="G78">
        <v>0</v>
      </c>
      <c r="H78">
        <v>0</v>
      </c>
      <c r="I78">
        <v>510.101205671456</v>
      </c>
      <c r="J78">
        <v>0</v>
      </c>
      <c r="K78">
        <v>38.897300063539298</v>
      </c>
      <c r="L78">
        <v>0</v>
      </c>
      <c r="M78">
        <v>81.523206077330101</v>
      </c>
      <c r="N78">
        <v>6554.3019713005697</v>
      </c>
      <c r="O78">
        <v>317.78921882485702</v>
      </c>
      <c r="P78">
        <v>469.07119388464702</v>
      </c>
      <c r="Q78">
        <v>101.74248453</v>
      </c>
      <c r="R78">
        <v>0</v>
      </c>
      <c r="S78">
        <v>17.129167288767398</v>
      </c>
      <c r="T78">
        <v>269.05158539838902</v>
      </c>
      <c r="U78">
        <v>1E-3</v>
      </c>
      <c r="V78">
        <v>1077.0600586057601</v>
      </c>
    </row>
    <row r="79" spans="1:24" x14ac:dyDescent="0.2">
      <c r="A79">
        <v>6004</v>
      </c>
      <c r="B79">
        <v>45</v>
      </c>
      <c r="C79">
        <v>0</v>
      </c>
      <c r="D79">
        <v>1160.69013595455</v>
      </c>
      <c r="E79">
        <v>0</v>
      </c>
      <c r="F79">
        <v>356.434574701607</v>
      </c>
      <c r="G79">
        <v>0</v>
      </c>
      <c r="H79">
        <v>0</v>
      </c>
      <c r="I79">
        <v>534.22362954377104</v>
      </c>
      <c r="J79">
        <v>0</v>
      </c>
      <c r="K79">
        <v>38.897300063539298</v>
      </c>
      <c r="L79">
        <v>0</v>
      </c>
      <c r="M79">
        <v>81.523206077330101</v>
      </c>
      <c r="N79">
        <v>9562.1392513249903</v>
      </c>
      <c r="O79">
        <v>403.87712357330003</v>
      </c>
      <c r="P79">
        <v>469.07119388464702</v>
      </c>
      <c r="Q79">
        <v>101.74248453</v>
      </c>
      <c r="R79">
        <v>0</v>
      </c>
      <c r="S79">
        <v>17.129167288767398</v>
      </c>
      <c r="T79">
        <v>388.72896966861998</v>
      </c>
      <c r="U79">
        <v>1E-3</v>
      </c>
      <c r="V79">
        <v>903.16708890053098</v>
      </c>
    </row>
    <row r="80" spans="1:24" x14ac:dyDescent="0.2">
      <c r="C80" s="4">
        <f t="shared" ref="C80:L80" si="3">+SUM(C42:C79)</f>
        <v>0</v>
      </c>
      <c r="D80" s="4">
        <f t="shared" si="3"/>
        <v>21146.469319395714</v>
      </c>
      <c r="E80" s="4">
        <f t="shared" si="3"/>
        <v>0</v>
      </c>
      <c r="F80" s="4">
        <f t="shared" si="3"/>
        <v>11009.431999128235</v>
      </c>
      <c r="G80" s="4">
        <f t="shared" si="3"/>
        <v>0</v>
      </c>
      <c r="H80" s="4">
        <f t="shared" si="3"/>
        <v>0</v>
      </c>
      <c r="I80" s="4">
        <f t="shared" si="3"/>
        <v>7409.7690004925516</v>
      </c>
      <c r="J80" s="4">
        <f t="shared" si="3"/>
        <v>336.91356038633268</v>
      </c>
      <c r="K80" s="4">
        <f t="shared" si="3"/>
        <v>12013.129380391114</v>
      </c>
      <c r="L80" s="4">
        <f t="shared" si="3"/>
        <v>0</v>
      </c>
      <c r="M80" s="10">
        <f>+SUM(M42:M79)</f>
        <v>70028.923317788474</v>
      </c>
      <c r="N80" s="4">
        <f t="shared" ref="N80:V80" si="4">+SUM(N42:N79)</f>
        <v>111178.42323043158</v>
      </c>
      <c r="O80" s="4">
        <f t="shared" si="4"/>
        <v>7201.0416789226983</v>
      </c>
      <c r="P80" s="4">
        <f t="shared" si="4"/>
        <v>23758.235203411561</v>
      </c>
      <c r="Q80" s="4">
        <f t="shared" si="4"/>
        <v>4377.5835610615059</v>
      </c>
      <c r="R80" s="4">
        <f t="shared" si="4"/>
        <v>0</v>
      </c>
      <c r="S80" s="4">
        <f t="shared" si="4"/>
        <v>44687.632506136622</v>
      </c>
      <c r="T80" s="4">
        <f t="shared" si="4"/>
        <v>7879.6830565830078</v>
      </c>
      <c r="U80" s="4">
        <f t="shared" si="4"/>
        <v>3.8000000000000027E-2</v>
      </c>
      <c r="V80" s="4">
        <f t="shared" si="4"/>
        <v>32027.850238372474</v>
      </c>
      <c r="X80" s="4">
        <f>+SUM(C80:V80)</f>
        <v>353055.12405250187</v>
      </c>
    </row>
    <row r="81" spans="1:24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X81" s="4"/>
    </row>
    <row r="83" spans="1:24" x14ac:dyDescent="0.2">
      <c r="A83">
        <v>6004</v>
      </c>
      <c r="B83">
        <v>8</v>
      </c>
      <c r="C83" s="4">
        <f>+(C42-C2)</f>
        <v>0</v>
      </c>
      <c r="D83" s="4">
        <f t="shared" ref="D83:V83" si="5">+(D42-D2)</f>
        <v>0</v>
      </c>
      <c r="E83" s="4">
        <f t="shared" si="5"/>
        <v>0</v>
      </c>
      <c r="F83" s="4">
        <f t="shared" si="5"/>
        <v>0</v>
      </c>
      <c r="G83" s="4">
        <f t="shared" si="5"/>
        <v>0</v>
      </c>
      <c r="H83" s="4">
        <f t="shared" si="5"/>
        <v>0</v>
      </c>
      <c r="I83" s="4">
        <f t="shared" si="5"/>
        <v>7.0918987804539091E-3</v>
      </c>
      <c r="J83" s="4">
        <f t="shared" si="5"/>
        <v>0</v>
      </c>
      <c r="K83" s="4">
        <f t="shared" si="5"/>
        <v>0.12025428620006551</v>
      </c>
      <c r="L83" s="4">
        <f t="shared" si="5"/>
        <v>0</v>
      </c>
      <c r="M83" s="4">
        <f t="shared" si="5"/>
        <v>0.84539700711002297</v>
      </c>
      <c r="N83" s="4">
        <f t="shared" si="5"/>
        <v>0</v>
      </c>
      <c r="O83" s="4">
        <f t="shared" si="5"/>
        <v>1.5132772169863529E-3</v>
      </c>
      <c r="P83" s="4">
        <f t="shared" si="5"/>
        <v>8.2689078590192366E-3</v>
      </c>
      <c r="Q83" s="4">
        <f t="shared" si="5"/>
        <v>1.0342682551993221E-2</v>
      </c>
      <c r="R83" s="4">
        <f t="shared" si="5"/>
        <v>0</v>
      </c>
      <c r="S83" s="4">
        <f t="shared" si="5"/>
        <v>0.41831783842008008</v>
      </c>
      <c r="T83" s="4">
        <f t="shared" si="5"/>
        <v>2.278169972669275E-7</v>
      </c>
      <c r="U83" s="4">
        <f t="shared" si="5"/>
        <v>0</v>
      </c>
      <c r="V83" s="4">
        <f t="shared" si="5"/>
        <v>5.8862701735051814E-7</v>
      </c>
      <c r="X83" s="3">
        <f>+(SUM(C83:V83)*1000000)/1000000000</f>
        <v>1.4111867145826359E-3</v>
      </c>
    </row>
    <row r="84" spans="1:24" x14ac:dyDescent="0.2">
      <c r="A84">
        <v>6004</v>
      </c>
      <c r="B84">
        <v>9</v>
      </c>
      <c r="C84" s="4">
        <f t="shared" ref="C84:V96" si="6">+(C43-C3)</f>
        <v>0</v>
      </c>
      <c r="D84" s="4">
        <f t="shared" si="6"/>
        <v>0</v>
      </c>
      <c r="E84" s="4">
        <f t="shared" si="6"/>
        <v>0</v>
      </c>
      <c r="F84" s="4">
        <f t="shared" si="6"/>
        <v>0</v>
      </c>
      <c r="G84" s="4">
        <f t="shared" si="6"/>
        <v>0</v>
      </c>
      <c r="H84" s="4">
        <f t="shared" si="6"/>
        <v>0</v>
      </c>
      <c r="I84" s="4">
        <f t="shared" si="6"/>
        <v>1.4334856812786012E-2</v>
      </c>
      <c r="J84" s="4">
        <f t="shared" si="6"/>
        <v>0</v>
      </c>
      <c r="K84" s="4">
        <f t="shared" si="6"/>
        <v>0.15612842618804734</v>
      </c>
      <c r="L84" s="4">
        <f t="shared" si="6"/>
        <v>0</v>
      </c>
      <c r="M84" s="4">
        <f t="shared" si="6"/>
        <v>1.682199813490115</v>
      </c>
      <c r="N84" s="4">
        <f t="shared" si="6"/>
        <v>0</v>
      </c>
      <c r="O84" s="4">
        <f t="shared" si="6"/>
        <v>7.2557181499917078E-3</v>
      </c>
      <c r="P84" s="4">
        <f t="shared" si="6"/>
        <v>2.1538083164045929E-2</v>
      </c>
      <c r="Q84" s="4">
        <f t="shared" si="6"/>
        <v>2.1996723987001587E-2</v>
      </c>
      <c r="R84" s="4">
        <f t="shared" si="6"/>
        <v>0</v>
      </c>
      <c r="S84" s="4">
        <f t="shared" si="6"/>
        <v>1.3780401676699512</v>
      </c>
      <c r="T84" s="4">
        <f t="shared" si="6"/>
        <v>7.1939589822008543E-2</v>
      </c>
      <c r="U84" s="4">
        <f t="shared" si="6"/>
        <v>0</v>
      </c>
      <c r="V84" s="4">
        <f t="shared" si="6"/>
        <v>0.21125475445899156</v>
      </c>
      <c r="X84" s="3">
        <f t="shared" ref="X84:X120" si="7">+(SUM(C84:V84)*1000000)/1000000000</f>
        <v>3.5646881337429389E-3</v>
      </c>
    </row>
    <row r="85" spans="1:24" x14ac:dyDescent="0.2">
      <c r="A85">
        <v>6004</v>
      </c>
      <c r="B85">
        <v>10</v>
      </c>
      <c r="C85" s="4">
        <f t="shared" si="6"/>
        <v>0</v>
      </c>
      <c r="D85" s="4">
        <f t="shared" si="6"/>
        <v>0</v>
      </c>
      <c r="E85" s="4">
        <f t="shared" si="6"/>
        <v>0</v>
      </c>
      <c r="F85" s="4">
        <f t="shared" si="6"/>
        <v>0</v>
      </c>
      <c r="G85" s="4">
        <f t="shared" si="6"/>
        <v>0</v>
      </c>
      <c r="H85" s="4">
        <f t="shared" si="6"/>
        <v>0</v>
      </c>
      <c r="I85" s="4">
        <f t="shared" si="6"/>
        <v>2.2479668333257985E-2</v>
      </c>
      <c r="J85" s="4">
        <f t="shared" si="6"/>
        <v>0</v>
      </c>
      <c r="K85" s="4">
        <f t="shared" si="6"/>
        <v>0.22776666892696085</v>
      </c>
      <c r="L85" s="4">
        <f t="shared" si="6"/>
        <v>0</v>
      </c>
      <c r="M85" s="4">
        <f t="shared" si="6"/>
        <v>2.8287529365202317</v>
      </c>
      <c r="N85" s="4">
        <f t="shared" si="6"/>
        <v>0</v>
      </c>
      <c r="O85" s="4">
        <f t="shared" si="6"/>
        <v>1.0620499381985837E-2</v>
      </c>
      <c r="P85" s="4">
        <f t="shared" si="6"/>
        <v>3.1420655271972464E-2</v>
      </c>
      <c r="Q85" s="4">
        <f t="shared" si="6"/>
        <v>0.10474717274499312</v>
      </c>
      <c r="R85" s="4">
        <f t="shared" si="6"/>
        <v>0</v>
      </c>
      <c r="S85" s="4">
        <f t="shared" si="6"/>
        <v>2.0103425513298134</v>
      </c>
      <c r="T85" s="4">
        <f t="shared" si="6"/>
        <v>0.53170159817599938</v>
      </c>
      <c r="U85" s="4">
        <f t="shared" si="6"/>
        <v>0</v>
      </c>
      <c r="V85" s="4">
        <f t="shared" si="6"/>
        <v>0.30114825235301623</v>
      </c>
      <c r="X85" s="3">
        <f t="shared" si="7"/>
        <v>6.068980003038231E-3</v>
      </c>
    </row>
    <row r="86" spans="1:24" x14ac:dyDescent="0.2">
      <c r="A86">
        <v>6004</v>
      </c>
      <c r="B86">
        <v>11</v>
      </c>
      <c r="C86" s="4">
        <f t="shared" si="6"/>
        <v>0</v>
      </c>
      <c r="D86" s="4">
        <f t="shared" si="6"/>
        <v>1.90661036873645</v>
      </c>
      <c r="E86" s="4">
        <f t="shared" si="6"/>
        <v>0</v>
      </c>
      <c r="F86" s="4">
        <f t="shared" si="6"/>
        <v>34.168464766040003</v>
      </c>
      <c r="G86" s="4">
        <f t="shared" si="6"/>
        <v>0</v>
      </c>
      <c r="H86" s="4">
        <f t="shared" si="6"/>
        <v>0</v>
      </c>
      <c r="I86" s="4">
        <f t="shared" si="6"/>
        <v>2.4068788481947601</v>
      </c>
      <c r="J86" s="4">
        <f t="shared" si="6"/>
        <v>-95.127635804561791</v>
      </c>
      <c r="K86" s="4">
        <f t="shared" si="6"/>
        <v>-9.8395407274960007</v>
      </c>
      <c r="L86" s="4">
        <f t="shared" si="6"/>
        <v>0</v>
      </c>
      <c r="M86" s="4">
        <f t="shared" si="6"/>
        <v>-128.08664792017998</v>
      </c>
      <c r="N86" s="4">
        <f t="shared" si="6"/>
        <v>115.166982629502</v>
      </c>
      <c r="O86" s="4">
        <f t="shared" si="6"/>
        <v>-7.6536395507109916</v>
      </c>
      <c r="P86" s="4">
        <f t="shared" si="6"/>
        <v>-1.0590638026470742</v>
      </c>
      <c r="Q86" s="4">
        <f t="shared" si="6"/>
        <v>7.0870501740003533E-2</v>
      </c>
      <c r="R86" s="4">
        <f t="shared" si="6"/>
        <v>0</v>
      </c>
      <c r="S86" s="4">
        <f t="shared" si="6"/>
        <v>-86.846980303429973</v>
      </c>
      <c r="T86" s="4">
        <f t="shared" si="6"/>
        <v>6.0731194255670005</v>
      </c>
      <c r="U86" s="4">
        <f t="shared" si="6"/>
        <v>0</v>
      </c>
      <c r="V86" s="4">
        <f t="shared" si="6"/>
        <v>73.396106161521004</v>
      </c>
      <c r="X86" s="3">
        <f t="shared" si="7"/>
        <v>-9.5424475407724599E-2</v>
      </c>
    </row>
    <row r="87" spans="1:24" x14ac:dyDescent="0.2">
      <c r="A87">
        <v>6004</v>
      </c>
      <c r="B87">
        <v>12</v>
      </c>
      <c r="C87" s="4">
        <f t="shared" si="6"/>
        <v>0</v>
      </c>
      <c r="D87" s="4">
        <f t="shared" si="6"/>
        <v>7.2109598445077898</v>
      </c>
      <c r="E87" s="4">
        <f t="shared" si="6"/>
        <v>0</v>
      </c>
      <c r="F87" s="4">
        <f t="shared" si="6"/>
        <v>62.811255487686303</v>
      </c>
      <c r="G87" s="4">
        <f t="shared" si="6"/>
        <v>0</v>
      </c>
      <c r="H87" s="4">
        <f t="shared" si="6"/>
        <v>0</v>
      </c>
      <c r="I87" s="4">
        <f t="shared" si="6"/>
        <v>5.1399073363115404</v>
      </c>
      <c r="J87" s="4">
        <f t="shared" si="6"/>
        <v>0.45164125486800799</v>
      </c>
      <c r="K87" s="4">
        <f t="shared" si="6"/>
        <v>-19.866531648414934</v>
      </c>
      <c r="L87" s="4">
        <f t="shared" si="6"/>
        <v>0</v>
      </c>
      <c r="M87" s="4">
        <f t="shared" si="6"/>
        <v>-293.00298916818974</v>
      </c>
      <c r="N87" s="4">
        <f t="shared" si="6"/>
        <v>247.54089339164599</v>
      </c>
      <c r="O87" s="4">
        <f t="shared" si="6"/>
        <v>14.851122565597692</v>
      </c>
      <c r="P87" s="4">
        <f t="shared" si="6"/>
        <v>-2.0967258333890868</v>
      </c>
      <c r="Q87" s="4">
        <f t="shared" si="6"/>
        <v>7.0870501740003533E-2</v>
      </c>
      <c r="R87" s="4">
        <f t="shared" si="6"/>
        <v>0</v>
      </c>
      <c r="S87" s="4">
        <f t="shared" si="6"/>
        <v>-175.34845685897017</v>
      </c>
      <c r="T87" s="4">
        <f t="shared" si="6"/>
        <v>12.308174987846002</v>
      </c>
      <c r="U87" s="4">
        <f t="shared" si="6"/>
        <v>0</v>
      </c>
      <c r="V87" s="4">
        <f t="shared" si="6"/>
        <v>77.752205690869005</v>
      </c>
      <c r="X87" s="3">
        <f t="shared" si="7"/>
        <v>-6.2177672447891581E-2</v>
      </c>
    </row>
    <row r="88" spans="1:24" x14ac:dyDescent="0.2">
      <c r="A88">
        <v>6004</v>
      </c>
      <c r="B88">
        <v>13</v>
      </c>
      <c r="C88" s="4">
        <f t="shared" si="6"/>
        <v>0</v>
      </c>
      <c r="D88" s="4">
        <f t="shared" si="6"/>
        <v>18.7777296159903</v>
      </c>
      <c r="E88" s="4">
        <f t="shared" si="6"/>
        <v>0</v>
      </c>
      <c r="F88" s="4">
        <f t="shared" si="6"/>
        <v>105.912983711243</v>
      </c>
      <c r="G88" s="4">
        <f t="shared" si="6"/>
        <v>0</v>
      </c>
      <c r="H88" s="4">
        <f t="shared" si="6"/>
        <v>0</v>
      </c>
      <c r="I88" s="4">
        <f t="shared" si="6"/>
        <v>8.7135641683457301</v>
      </c>
      <c r="J88" s="4">
        <f t="shared" si="6"/>
        <v>0</v>
      </c>
      <c r="K88" s="4">
        <f t="shared" si="6"/>
        <v>-28.572349575175053</v>
      </c>
      <c r="L88" s="4">
        <f t="shared" si="6"/>
        <v>0</v>
      </c>
      <c r="M88" s="4">
        <f t="shared" si="6"/>
        <v>-444.5447507068202</v>
      </c>
      <c r="N88" s="4">
        <f t="shared" si="6"/>
        <v>380.82118127249402</v>
      </c>
      <c r="O88" s="4">
        <f t="shared" si="6"/>
        <v>22.287793663383198</v>
      </c>
      <c r="P88" s="4">
        <f t="shared" si="6"/>
        <v>-3.00056852398302</v>
      </c>
      <c r="Q88" s="4">
        <f t="shared" si="6"/>
        <v>7.0870501740003533E-2</v>
      </c>
      <c r="R88" s="4">
        <f t="shared" si="6"/>
        <v>0</v>
      </c>
      <c r="S88" s="4">
        <f t="shared" si="6"/>
        <v>-252.18883172502001</v>
      </c>
      <c r="T88" s="4">
        <f t="shared" si="6"/>
        <v>18.73228147606099</v>
      </c>
      <c r="U88" s="4">
        <f t="shared" si="6"/>
        <v>0</v>
      </c>
      <c r="V88" s="4">
        <f t="shared" si="6"/>
        <v>117.09070188685905</v>
      </c>
      <c r="X88" s="3">
        <f t="shared" si="7"/>
        <v>-5.589939423488198E-2</v>
      </c>
    </row>
    <row r="89" spans="1:24" x14ac:dyDescent="0.2">
      <c r="A89">
        <v>6004</v>
      </c>
      <c r="B89">
        <v>14</v>
      </c>
      <c r="C89" s="4">
        <f t="shared" si="6"/>
        <v>0</v>
      </c>
      <c r="D89" s="4">
        <f t="shared" si="6"/>
        <v>40.410875273000997</v>
      </c>
      <c r="E89" s="4">
        <f t="shared" si="6"/>
        <v>0</v>
      </c>
      <c r="F89" s="4">
        <f t="shared" si="6"/>
        <v>128.46066421117752</v>
      </c>
      <c r="G89" s="4">
        <f t="shared" si="6"/>
        <v>0</v>
      </c>
      <c r="H89" s="4">
        <f t="shared" si="6"/>
        <v>0</v>
      </c>
      <c r="I89" s="4">
        <f t="shared" si="6"/>
        <v>13.858513777627959</v>
      </c>
      <c r="J89" s="4">
        <f t="shared" si="6"/>
        <v>0</v>
      </c>
      <c r="K89" s="4">
        <f t="shared" si="6"/>
        <v>-37.953458567581947</v>
      </c>
      <c r="L89" s="4">
        <f t="shared" si="6"/>
        <v>0</v>
      </c>
      <c r="M89" s="4">
        <f t="shared" si="6"/>
        <v>-563.80187314286013</v>
      </c>
      <c r="N89" s="4">
        <f t="shared" si="6"/>
        <v>494.23577160877801</v>
      </c>
      <c r="O89" s="4">
        <f t="shared" si="6"/>
        <v>29.659254609316903</v>
      </c>
      <c r="P89" s="4">
        <f t="shared" si="6"/>
        <v>-3.7534011151100231</v>
      </c>
      <c r="Q89" s="4">
        <f t="shared" si="6"/>
        <v>7.0870501740003533E-2</v>
      </c>
      <c r="R89" s="4">
        <f t="shared" si="6"/>
        <v>0</v>
      </c>
      <c r="S89" s="4">
        <f t="shared" si="6"/>
        <v>-334.98954473098001</v>
      </c>
      <c r="T89" s="4">
        <f t="shared" si="6"/>
        <v>33.601594534965997</v>
      </c>
      <c r="U89" s="4">
        <f t="shared" si="6"/>
        <v>0</v>
      </c>
      <c r="V89" s="4">
        <f t="shared" si="6"/>
        <v>134.40225865809799</v>
      </c>
      <c r="X89" s="3">
        <f t="shared" si="7"/>
        <v>-6.5798474381826733E-2</v>
      </c>
    </row>
    <row r="90" spans="1:24" x14ac:dyDescent="0.2">
      <c r="A90">
        <v>6004</v>
      </c>
      <c r="B90">
        <v>15</v>
      </c>
      <c r="C90" s="4">
        <f t="shared" si="6"/>
        <v>0</v>
      </c>
      <c r="D90" s="4">
        <f t="shared" si="6"/>
        <v>67.503936562853298</v>
      </c>
      <c r="E90" s="4">
        <f t="shared" si="6"/>
        <v>0</v>
      </c>
      <c r="F90" s="4">
        <f t="shared" si="6"/>
        <v>140.55810873802491</v>
      </c>
      <c r="G90" s="4">
        <f t="shared" si="6"/>
        <v>0</v>
      </c>
      <c r="H90" s="4">
        <f t="shared" si="6"/>
        <v>0</v>
      </c>
      <c r="I90" s="4">
        <f t="shared" si="6"/>
        <v>19.717496083602171</v>
      </c>
      <c r="J90" s="4">
        <f t="shared" si="6"/>
        <v>0</v>
      </c>
      <c r="K90" s="4">
        <f t="shared" si="6"/>
        <v>-47.698149713515022</v>
      </c>
      <c r="L90" s="4">
        <f t="shared" si="6"/>
        <v>0</v>
      </c>
      <c r="M90" s="4">
        <f t="shared" si="6"/>
        <v>-676.55707367789</v>
      </c>
      <c r="N90" s="4">
        <f t="shared" si="6"/>
        <v>609.98346844534694</v>
      </c>
      <c r="O90" s="4">
        <f t="shared" si="6"/>
        <v>36.925417556871892</v>
      </c>
      <c r="P90" s="4">
        <f t="shared" si="6"/>
        <v>-4.5270554617360403</v>
      </c>
      <c r="Q90" s="4">
        <f t="shared" si="6"/>
        <v>7.0870501740003533E-2</v>
      </c>
      <c r="R90" s="4">
        <f t="shared" si="6"/>
        <v>0</v>
      </c>
      <c r="S90" s="4">
        <f t="shared" si="6"/>
        <v>-420.99935184002015</v>
      </c>
      <c r="T90" s="4">
        <f t="shared" si="6"/>
        <v>56.052807763024987</v>
      </c>
      <c r="U90" s="4">
        <f t="shared" si="6"/>
        <v>0</v>
      </c>
      <c r="V90" s="4">
        <f t="shared" si="6"/>
        <v>131.33250683148003</v>
      </c>
      <c r="X90" s="3">
        <f t="shared" si="7"/>
        <v>-8.7637018210217035E-2</v>
      </c>
    </row>
    <row r="91" spans="1:24" x14ac:dyDescent="0.2">
      <c r="A91">
        <v>6004</v>
      </c>
      <c r="B91">
        <v>16</v>
      </c>
      <c r="C91" s="4">
        <f t="shared" si="6"/>
        <v>0</v>
      </c>
      <c r="D91" s="4">
        <f t="shared" si="6"/>
        <v>99.035070260697395</v>
      </c>
      <c r="E91" s="4">
        <f t="shared" si="6"/>
        <v>0</v>
      </c>
      <c r="F91" s="4">
        <f t="shared" si="6"/>
        <v>143.636349357233</v>
      </c>
      <c r="G91" s="4">
        <f t="shared" si="6"/>
        <v>0</v>
      </c>
      <c r="H91" s="4">
        <f t="shared" si="6"/>
        <v>0</v>
      </c>
      <c r="I91" s="4">
        <f t="shared" si="6"/>
        <v>26.323201053387542</v>
      </c>
      <c r="J91" s="4">
        <f t="shared" si="6"/>
        <v>0</v>
      </c>
      <c r="K91" s="4">
        <f t="shared" si="6"/>
        <v>-57.886000982648966</v>
      </c>
      <c r="L91" s="4">
        <f t="shared" si="6"/>
        <v>0</v>
      </c>
      <c r="M91" s="4">
        <f t="shared" si="6"/>
        <v>-809.42207566284014</v>
      </c>
      <c r="N91" s="4">
        <f t="shared" si="6"/>
        <v>738.565546217627</v>
      </c>
      <c r="O91" s="4">
        <f t="shared" si="6"/>
        <v>44.049362006947405</v>
      </c>
      <c r="P91" s="4">
        <f t="shared" si="6"/>
        <v>-5.3368429470069714</v>
      </c>
      <c r="Q91" s="4">
        <f t="shared" si="6"/>
        <v>7.0870501740003533E-2</v>
      </c>
      <c r="R91" s="4">
        <f t="shared" si="6"/>
        <v>0</v>
      </c>
      <c r="S91" s="4">
        <f t="shared" si="6"/>
        <v>-510.92063404303008</v>
      </c>
      <c r="T91" s="4">
        <f t="shared" si="6"/>
        <v>77.976970491889006</v>
      </c>
      <c r="U91" s="4">
        <f t="shared" si="6"/>
        <v>0</v>
      </c>
      <c r="V91" s="4">
        <f t="shared" si="6"/>
        <v>128.33286822519403</v>
      </c>
      <c r="X91" s="3">
        <f t="shared" si="7"/>
        <v>-0.12557531552081072</v>
      </c>
    </row>
    <row r="92" spans="1:24" x14ac:dyDescent="0.2">
      <c r="A92">
        <v>6004</v>
      </c>
      <c r="B92">
        <v>17</v>
      </c>
      <c r="C92" s="4">
        <f t="shared" si="6"/>
        <v>0</v>
      </c>
      <c r="D92" s="4">
        <f t="shared" si="6"/>
        <v>134.171490969475</v>
      </c>
      <c r="E92" s="4">
        <f t="shared" si="6"/>
        <v>0</v>
      </c>
      <c r="F92" s="4">
        <f t="shared" si="6"/>
        <v>138.97981970065399</v>
      </c>
      <c r="G92" s="4">
        <f t="shared" si="6"/>
        <v>0</v>
      </c>
      <c r="H92" s="4">
        <f t="shared" si="6"/>
        <v>0</v>
      </c>
      <c r="I92" s="4">
        <f t="shared" si="6"/>
        <v>33.716954175098031</v>
      </c>
      <c r="J92" s="4">
        <f t="shared" si="6"/>
        <v>0</v>
      </c>
      <c r="K92" s="4">
        <f t="shared" si="6"/>
        <v>-68.557350572158043</v>
      </c>
      <c r="L92" s="4">
        <f t="shared" si="6"/>
        <v>0</v>
      </c>
      <c r="M92" s="4">
        <f t="shared" si="6"/>
        <v>-951.96501800777014</v>
      </c>
      <c r="N92" s="4">
        <f t="shared" si="6"/>
        <v>868.42882229031602</v>
      </c>
      <c r="O92" s="4">
        <f t="shared" si="6"/>
        <v>51.048491992818796</v>
      </c>
      <c r="P92" s="4">
        <f t="shared" si="6"/>
        <v>-6.1717666012129939</v>
      </c>
      <c r="Q92" s="4">
        <f t="shared" si="6"/>
        <v>7.0870501740003533E-2</v>
      </c>
      <c r="R92" s="4">
        <f t="shared" si="6"/>
        <v>0</v>
      </c>
      <c r="S92" s="4">
        <f t="shared" si="6"/>
        <v>-605.10942936155993</v>
      </c>
      <c r="T92" s="4">
        <f t="shared" si="6"/>
        <v>96.538895061758993</v>
      </c>
      <c r="U92" s="4">
        <f t="shared" si="6"/>
        <v>0</v>
      </c>
      <c r="V92" s="4">
        <f t="shared" si="6"/>
        <v>132.783854050424</v>
      </c>
      <c r="X92" s="3">
        <f t="shared" si="7"/>
        <v>-0.1760643658004164</v>
      </c>
    </row>
    <row r="93" spans="1:24" x14ac:dyDescent="0.2">
      <c r="A93">
        <v>6004</v>
      </c>
      <c r="B93">
        <v>18</v>
      </c>
      <c r="C93" s="4">
        <f t="shared" si="6"/>
        <v>0</v>
      </c>
      <c r="D93" s="4">
        <f t="shared" si="6"/>
        <v>172.22106066021601</v>
      </c>
      <c r="E93" s="4">
        <f t="shared" si="6"/>
        <v>0</v>
      </c>
      <c r="F93" s="4">
        <f t="shared" si="6"/>
        <v>127.67280051663599</v>
      </c>
      <c r="G93" s="4">
        <f t="shared" si="6"/>
        <v>0</v>
      </c>
      <c r="H93" s="4">
        <f t="shared" si="6"/>
        <v>0</v>
      </c>
      <c r="I93" s="4">
        <f t="shared" si="6"/>
        <v>41.928907435894409</v>
      </c>
      <c r="J93" s="4">
        <f t="shared" si="6"/>
        <v>0</v>
      </c>
      <c r="K93" s="4">
        <f t="shared" si="6"/>
        <v>-79.771262382445002</v>
      </c>
      <c r="L93" s="4">
        <f t="shared" si="6"/>
        <v>0</v>
      </c>
      <c r="M93" s="4">
        <f t="shared" si="6"/>
        <v>-1126.86257587608</v>
      </c>
      <c r="N93" s="4">
        <f t="shared" si="6"/>
        <v>1013.0865247374001</v>
      </c>
      <c r="O93" s="4">
        <f t="shared" si="6"/>
        <v>57.913563014099012</v>
      </c>
      <c r="P93" s="4">
        <f t="shared" si="6"/>
        <v>-7.033196345324086</v>
      </c>
      <c r="Q93" s="4">
        <f t="shared" si="6"/>
        <v>7.0870501740003533E-2</v>
      </c>
      <c r="R93" s="4">
        <f t="shared" si="6"/>
        <v>0</v>
      </c>
      <c r="S93" s="4">
        <f t="shared" si="6"/>
        <v>-704.08705495251979</v>
      </c>
      <c r="T93" s="4">
        <f t="shared" si="6"/>
        <v>86.840545670853999</v>
      </c>
      <c r="U93" s="4">
        <f t="shared" si="6"/>
        <v>0</v>
      </c>
      <c r="V93" s="4">
        <f t="shared" si="6"/>
        <v>205.42739091781601</v>
      </c>
      <c r="X93" s="3">
        <f t="shared" si="7"/>
        <v>-0.21259242610171344</v>
      </c>
    </row>
    <row r="94" spans="1:24" x14ac:dyDescent="0.2">
      <c r="A94">
        <v>6004</v>
      </c>
      <c r="B94">
        <v>19</v>
      </c>
      <c r="C94" s="4">
        <f t="shared" si="6"/>
        <v>0</v>
      </c>
      <c r="D94" s="4">
        <f t="shared" si="6"/>
        <v>212.60330187371099</v>
      </c>
      <c r="E94" s="4">
        <f t="shared" si="6"/>
        <v>0</v>
      </c>
      <c r="F94" s="4">
        <f t="shared" si="6"/>
        <v>110.62772715432399</v>
      </c>
      <c r="G94" s="4">
        <f t="shared" si="6"/>
        <v>0</v>
      </c>
      <c r="H94" s="4">
        <f t="shared" si="6"/>
        <v>0</v>
      </c>
      <c r="I94" s="4">
        <f t="shared" si="6"/>
        <v>50.985307416980618</v>
      </c>
      <c r="J94" s="4">
        <f t="shared" si="6"/>
        <v>0</v>
      </c>
      <c r="K94" s="4">
        <f t="shared" si="6"/>
        <v>-91.549044848805011</v>
      </c>
      <c r="L94" s="4">
        <f t="shared" si="6"/>
        <v>0</v>
      </c>
      <c r="M94" s="4">
        <f t="shared" si="6"/>
        <v>-1298.5408838727699</v>
      </c>
      <c r="N94" s="4">
        <f t="shared" si="6"/>
        <v>1165.0432942632599</v>
      </c>
      <c r="O94" s="4">
        <f t="shared" si="6"/>
        <v>64.643755678394513</v>
      </c>
      <c r="P94" s="4">
        <f t="shared" si="6"/>
        <v>-7.9217970461550067</v>
      </c>
      <c r="Q94" s="4">
        <f t="shared" si="6"/>
        <v>7.0870501740003533E-2</v>
      </c>
      <c r="R94" s="4">
        <f t="shared" si="6"/>
        <v>0</v>
      </c>
      <c r="S94" s="4">
        <f t="shared" si="6"/>
        <v>-808.04158598215986</v>
      </c>
      <c r="T94" s="4">
        <f t="shared" si="6"/>
        <v>112.43655791849599</v>
      </c>
      <c r="U94" s="4">
        <f t="shared" si="6"/>
        <v>0</v>
      </c>
      <c r="V94" s="4">
        <f t="shared" si="6"/>
        <v>189.11469922956502</v>
      </c>
      <c r="X94" s="3">
        <f t="shared" si="7"/>
        <v>-0.30052779771341881</v>
      </c>
    </row>
    <row r="95" spans="1:24" x14ac:dyDescent="0.2">
      <c r="A95">
        <v>6004</v>
      </c>
      <c r="B95">
        <v>20</v>
      </c>
      <c r="C95" s="4">
        <f t="shared" si="6"/>
        <v>0</v>
      </c>
      <c r="D95" s="4">
        <f t="shared" si="6"/>
        <v>254.828336068109</v>
      </c>
      <c r="E95" s="4">
        <f t="shared" si="6"/>
        <v>0</v>
      </c>
      <c r="F95" s="4">
        <f t="shared" si="6"/>
        <v>88.615834848315984</v>
      </c>
      <c r="G95" s="4">
        <f t="shared" si="6"/>
        <v>0</v>
      </c>
      <c r="H95" s="4">
        <f t="shared" si="6"/>
        <v>0</v>
      </c>
      <c r="I95" s="4">
        <f t="shared" si="6"/>
        <v>60.909941672352531</v>
      </c>
      <c r="J95" s="4">
        <f t="shared" si="6"/>
        <v>0</v>
      </c>
      <c r="K95" s="4">
        <f t="shared" si="6"/>
        <v>-103.93353152826398</v>
      </c>
      <c r="L95" s="4">
        <f t="shared" si="6"/>
        <v>0</v>
      </c>
      <c r="M95" s="4">
        <f t="shared" si="6"/>
        <v>-1509.8433697753499</v>
      </c>
      <c r="N95" s="4">
        <f t="shared" si="6"/>
        <v>1336.0635536371301</v>
      </c>
      <c r="O95" s="4">
        <f t="shared" si="6"/>
        <v>71.242653905613011</v>
      </c>
      <c r="P95" s="4">
        <f t="shared" si="6"/>
        <v>-8.835714672514996</v>
      </c>
      <c r="Q95" s="4">
        <f t="shared" si="6"/>
        <v>7.0870501740003533E-2</v>
      </c>
      <c r="R95" s="4">
        <f t="shared" si="6"/>
        <v>0</v>
      </c>
      <c r="S95" s="4">
        <f t="shared" si="6"/>
        <v>-917.35108532836989</v>
      </c>
      <c r="T95" s="4">
        <f t="shared" si="6"/>
        <v>109.40891729267301</v>
      </c>
      <c r="U95" s="4">
        <f t="shared" si="6"/>
        <v>0</v>
      </c>
      <c r="V95" s="4">
        <f t="shared" si="6"/>
        <v>245.10479496117404</v>
      </c>
      <c r="X95" s="3">
        <f t="shared" si="7"/>
        <v>-0.37371879841739108</v>
      </c>
    </row>
    <row r="96" spans="1:24" x14ac:dyDescent="0.2">
      <c r="A96">
        <v>6004</v>
      </c>
      <c r="B96">
        <v>21</v>
      </c>
      <c r="C96" s="4">
        <f t="shared" si="6"/>
        <v>0</v>
      </c>
      <c r="D96" s="4">
        <f t="shared" si="6"/>
        <v>298.48136248660398</v>
      </c>
      <c r="E96" s="4">
        <f t="shared" si="6"/>
        <v>0</v>
      </c>
      <c r="F96" s="4">
        <f t="shared" si="6"/>
        <v>62.293338986201036</v>
      </c>
      <c r="G96" s="4">
        <f t="shared" si="6"/>
        <v>0</v>
      </c>
      <c r="H96" s="4">
        <f t="shared" si="6"/>
        <v>0</v>
      </c>
      <c r="I96" s="4">
        <f t="shared" si="6"/>
        <v>71.700133182376291</v>
      </c>
      <c r="J96" s="4">
        <f t="shared" si="6"/>
        <v>0</v>
      </c>
      <c r="K96" s="4">
        <f t="shared" si="6"/>
        <v>-116.93840295732207</v>
      </c>
      <c r="L96" s="4">
        <f t="shared" si="6"/>
        <v>0</v>
      </c>
      <c r="M96" s="4">
        <f t="shared" si="6"/>
        <v>-1704.5553520435205</v>
      </c>
      <c r="N96" s="4">
        <f t="shared" si="6"/>
        <v>1500.2192429331201</v>
      </c>
      <c r="O96" s="4">
        <f t="shared" si="6"/>
        <v>77.702873046469904</v>
      </c>
      <c r="P96" s="4">
        <f t="shared" si="6"/>
        <v>-9.7776087789060284</v>
      </c>
      <c r="Q96" s="4">
        <f t="shared" si="6"/>
        <v>7.0870501740003533E-2</v>
      </c>
      <c r="R96" s="4">
        <f t="shared" ref="R96:V96" si="8">+(R55-R15)</f>
        <v>0</v>
      </c>
      <c r="S96" s="4">
        <f t="shared" si="8"/>
        <v>-1032.1363018468601</v>
      </c>
      <c r="T96" s="4">
        <f t="shared" si="8"/>
        <v>106.910014167678</v>
      </c>
      <c r="U96" s="4">
        <f t="shared" si="8"/>
        <v>0</v>
      </c>
      <c r="V96" s="4">
        <f t="shared" si="8"/>
        <v>298.35900329854195</v>
      </c>
      <c r="X96" s="3">
        <f t="shared" si="7"/>
        <v>-0.44767082702387739</v>
      </c>
    </row>
    <row r="97" spans="1:24" x14ac:dyDescent="0.2">
      <c r="A97">
        <v>6004</v>
      </c>
      <c r="B97">
        <v>22</v>
      </c>
      <c r="C97" s="4">
        <f t="shared" ref="C97:V109" si="9">+(C56-C16)</f>
        <v>0</v>
      </c>
      <c r="D97" s="4">
        <f t="shared" si="9"/>
        <v>343.20574664326</v>
      </c>
      <c r="E97" s="4">
        <f t="shared" si="9"/>
        <v>0</v>
      </c>
      <c r="F97" s="4">
        <f t="shared" si="9"/>
        <v>32.216972839796995</v>
      </c>
      <c r="G97" s="4">
        <f t="shared" si="9"/>
        <v>0</v>
      </c>
      <c r="H97" s="4">
        <f t="shared" si="9"/>
        <v>0</v>
      </c>
      <c r="I97" s="4">
        <f t="shared" si="9"/>
        <v>83.394929099186612</v>
      </c>
      <c r="J97" s="4">
        <f t="shared" si="9"/>
        <v>0</v>
      </c>
      <c r="K97" s="4">
        <f t="shared" si="9"/>
        <v>-130.62671696853602</v>
      </c>
      <c r="L97" s="4">
        <f t="shared" si="9"/>
        <v>0</v>
      </c>
      <c r="M97" s="4">
        <f t="shared" si="9"/>
        <v>-1926.5968116261206</v>
      </c>
      <c r="N97" s="4">
        <f t="shared" si="9"/>
        <v>1679.8274244700799</v>
      </c>
      <c r="O97" s="4">
        <f t="shared" si="9"/>
        <v>84.03747823071042</v>
      </c>
      <c r="P97" s="4">
        <f t="shared" si="9"/>
        <v>-10.743518422391958</v>
      </c>
      <c r="Q97" s="4">
        <f t="shared" si="9"/>
        <v>7.0870501740003533E-2</v>
      </c>
      <c r="R97" s="4">
        <f t="shared" si="9"/>
        <v>0</v>
      </c>
      <c r="S97" s="4">
        <f t="shared" si="9"/>
        <v>-1152.9538044358699</v>
      </c>
      <c r="T97" s="4">
        <f t="shared" si="9"/>
        <v>104.468186064546</v>
      </c>
      <c r="U97" s="4">
        <f t="shared" si="9"/>
        <v>0</v>
      </c>
      <c r="V97" s="4">
        <f t="shared" si="9"/>
        <v>350.61426787309398</v>
      </c>
      <c r="X97" s="3">
        <f t="shared" si="7"/>
        <v>-0.54308497573050452</v>
      </c>
    </row>
    <row r="98" spans="1:24" x14ac:dyDescent="0.2">
      <c r="A98">
        <v>6004</v>
      </c>
      <c r="B98">
        <v>23</v>
      </c>
      <c r="C98" s="4">
        <f t="shared" si="9"/>
        <v>0</v>
      </c>
      <c r="D98" s="4">
        <f t="shared" si="9"/>
        <v>388.69465762162002</v>
      </c>
      <c r="E98" s="4">
        <f t="shared" si="9"/>
        <v>0</v>
      </c>
      <c r="F98" s="4">
        <f t="shared" si="9"/>
        <v>-1.1358895879640158</v>
      </c>
      <c r="G98" s="4">
        <f t="shared" si="9"/>
        <v>0</v>
      </c>
      <c r="H98" s="4">
        <f t="shared" si="9"/>
        <v>0</v>
      </c>
      <c r="I98" s="4">
        <f t="shared" si="9"/>
        <v>94.339259848074505</v>
      </c>
      <c r="J98" s="4">
        <f t="shared" si="9"/>
        <v>0</v>
      </c>
      <c r="K98" s="4">
        <f t="shared" si="9"/>
        <v>-145.02887803683404</v>
      </c>
      <c r="L98" s="4">
        <f t="shared" si="9"/>
        <v>0</v>
      </c>
      <c r="M98" s="4">
        <f t="shared" si="9"/>
        <v>-2168.9579144591498</v>
      </c>
      <c r="N98" s="4">
        <f t="shared" si="9"/>
        <v>1870.5290460613901</v>
      </c>
      <c r="O98" s="4">
        <f t="shared" si="9"/>
        <v>90.257724983281008</v>
      </c>
      <c r="P98" s="4">
        <f t="shared" si="9"/>
        <v>-11.733915278685913</v>
      </c>
      <c r="Q98" s="4">
        <f t="shared" si="9"/>
        <v>7.0870501740003533E-2</v>
      </c>
      <c r="R98" s="4">
        <f t="shared" si="9"/>
        <v>0</v>
      </c>
      <c r="S98" s="4">
        <f t="shared" si="9"/>
        <v>-1280.5535464947402</v>
      </c>
      <c r="T98" s="4">
        <f t="shared" si="9"/>
        <v>102.08212938893401</v>
      </c>
      <c r="U98" s="4">
        <f t="shared" si="9"/>
        <v>0</v>
      </c>
      <c r="V98" s="4">
        <f t="shared" si="9"/>
        <v>401.48522121077303</v>
      </c>
      <c r="X98" s="3">
        <f t="shared" si="7"/>
        <v>-0.65995123424156121</v>
      </c>
    </row>
    <row r="99" spans="1:24" x14ac:dyDescent="0.2">
      <c r="A99">
        <v>6004</v>
      </c>
      <c r="B99">
        <v>24</v>
      </c>
      <c r="C99" s="4">
        <f t="shared" si="9"/>
        <v>0</v>
      </c>
      <c r="D99" s="4">
        <f t="shared" si="9"/>
        <v>434.65897717363401</v>
      </c>
      <c r="E99" s="4">
        <f t="shared" si="9"/>
        <v>0</v>
      </c>
      <c r="F99" s="4">
        <f t="shared" si="9"/>
        <v>-35.504941937378021</v>
      </c>
      <c r="G99" s="4">
        <f t="shared" si="9"/>
        <v>0</v>
      </c>
      <c r="H99" s="4">
        <f t="shared" si="9"/>
        <v>0</v>
      </c>
      <c r="I99" s="4">
        <f t="shared" si="9"/>
        <v>106.0280610990644</v>
      </c>
      <c r="J99" s="4">
        <f t="shared" si="9"/>
        <v>0</v>
      </c>
      <c r="K99" s="4">
        <f t="shared" si="9"/>
        <v>-160.18055945395895</v>
      </c>
      <c r="L99" s="4">
        <f t="shared" si="9"/>
        <v>0</v>
      </c>
      <c r="M99" s="4">
        <f t="shared" si="9"/>
        <v>-2387.4286900168204</v>
      </c>
      <c r="N99" s="4">
        <f t="shared" si="9"/>
        <v>2040.8040679774499</v>
      </c>
      <c r="O99" s="4">
        <f t="shared" si="9"/>
        <v>96.354373660768402</v>
      </c>
      <c r="P99" s="4">
        <f t="shared" si="9"/>
        <v>-12.750770248445974</v>
      </c>
      <c r="Q99" s="4">
        <f t="shared" si="9"/>
        <v>7.0870501740003533E-2</v>
      </c>
      <c r="R99" s="4">
        <f t="shared" si="9"/>
        <v>0</v>
      </c>
      <c r="S99" s="4">
        <f t="shared" si="9"/>
        <v>-1416.5290279964499</v>
      </c>
      <c r="T99" s="4">
        <f t="shared" si="9"/>
        <v>99.750570341105004</v>
      </c>
      <c r="U99" s="4">
        <f t="shared" si="9"/>
        <v>0</v>
      </c>
      <c r="V99" s="4">
        <f t="shared" si="9"/>
        <v>450.80680230340096</v>
      </c>
      <c r="X99" s="3">
        <f t="shared" si="7"/>
        <v>-0.78392026659589054</v>
      </c>
    </row>
    <row r="100" spans="1:24" x14ac:dyDescent="0.2">
      <c r="A100">
        <v>6004</v>
      </c>
      <c r="B100">
        <v>25</v>
      </c>
      <c r="C100" s="4">
        <f t="shared" si="9"/>
        <v>0</v>
      </c>
      <c r="D100" s="4">
        <f t="shared" si="9"/>
        <v>480.81007536171597</v>
      </c>
      <c r="E100" s="4">
        <f t="shared" si="9"/>
        <v>0</v>
      </c>
      <c r="F100" s="4">
        <f t="shared" si="9"/>
        <v>-69.675498902051004</v>
      </c>
      <c r="G100" s="4">
        <f t="shared" si="9"/>
        <v>0</v>
      </c>
      <c r="H100" s="4">
        <f t="shared" si="9"/>
        <v>0</v>
      </c>
      <c r="I100" s="4">
        <f t="shared" si="9"/>
        <v>118.13024743035729</v>
      </c>
      <c r="J100" s="4">
        <f t="shared" si="9"/>
        <v>-0.95773608096440976</v>
      </c>
      <c r="K100" s="4">
        <f t="shared" si="9"/>
        <v>-210.443747677218</v>
      </c>
      <c r="L100" s="4">
        <f t="shared" si="9"/>
        <v>0</v>
      </c>
      <c r="M100" s="4">
        <f t="shared" si="9"/>
        <v>-2699.2934640998901</v>
      </c>
      <c r="N100" s="4">
        <f t="shared" si="9"/>
        <v>2234.7784207812902</v>
      </c>
      <c r="O100" s="4">
        <f t="shared" si="9"/>
        <v>102.31574431799831</v>
      </c>
      <c r="P100" s="4">
        <f t="shared" si="9"/>
        <v>-48.595715787480003</v>
      </c>
      <c r="Q100" s="4">
        <f t="shared" si="9"/>
        <v>7.0870501740003533E-2</v>
      </c>
      <c r="R100" s="4">
        <f t="shared" si="9"/>
        <v>0</v>
      </c>
      <c r="S100" s="4">
        <f t="shared" si="9"/>
        <v>-1584.1908259197799</v>
      </c>
      <c r="T100" s="4">
        <f t="shared" si="9"/>
        <v>97.472264159798996</v>
      </c>
      <c r="U100" s="4">
        <f t="shared" si="9"/>
        <v>0</v>
      </c>
      <c r="V100" s="4">
        <f t="shared" si="9"/>
        <v>607.92561312852899</v>
      </c>
      <c r="X100" s="3">
        <f t="shared" si="7"/>
        <v>-0.97165375278595389</v>
      </c>
    </row>
    <row r="101" spans="1:24" x14ac:dyDescent="0.2">
      <c r="A101">
        <v>6004</v>
      </c>
      <c r="B101">
        <v>26</v>
      </c>
      <c r="C101" s="4">
        <f t="shared" si="9"/>
        <v>0</v>
      </c>
      <c r="D101" s="4">
        <f t="shared" si="9"/>
        <v>536.50117399118005</v>
      </c>
      <c r="E101" s="4">
        <f t="shared" si="9"/>
        <v>0</v>
      </c>
      <c r="F101" s="4">
        <f t="shared" si="9"/>
        <v>-103.45838963287201</v>
      </c>
      <c r="G101" s="4">
        <f t="shared" si="9"/>
        <v>0</v>
      </c>
      <c r="H101" s="4">
        <f t="shared" si="9"/>
        <v>0</v>
      </c>
      <c r="I101" s="4">
        <f t="shared" si="9"/>
        <v>130.90150499904971</v>
      </c>
      <c r="J101" s="4">
        <f t="shared" si="9"/>
        <v>0</v>
      </c>
      <c r="K101" s="4">
        <f t="shared" si="9"/>
        <v>-229.67207229996299</v>
      </c>
      <c r="L101" s="4">
        <f t="shared" si="9"/>
        <v>0</v>
      </c>
      <c r="M101" s="4">
        <f t="shared" si="9"/>
        <v>-2967.6355792989798</v>
      </c>
      <c r="N101" s="4">
        <f t="shared" si="9"/>
        <v>2445.1312737900598</v>
      </c>
      <c r="O101" s="4">
        <f t="shared" si="9"/>
        <v>108.07812828683271</v>
      </c>
      <c r="P101" s="4">
        <f t="shared" si="9"/>
        <v>-64.61787789594996</v>
      </c>
      <c r="Q101" s="4">
        <f t="shared" si="9"/>
        <v>7.0870501740003533E-2</v>
      </c>
      <c r="R101" s="4">
        <f t="shared" si="9"/>
        <v>0</v>
      </c>
      <c r="S101" s="4">
        <f t="shared" si="9"/>
        <v>-1763.6213394726201</v>
      </c>
      <c r="T101" s="4">
        <f t="shared" si="9"/>
        <v>92.964884131709013</v>
      </c>
      <c r="U101" s="4">
        <f t="shared" si="9"/>
        <v>0</v>
      </c>
      <c r="V101" s="4">
        <f t="shared" si="9"/>
        <v>594.04057294567497</v>
      </c>
      <c r="X101" s="3">
        <f t="shared" si="7"/>
        <v>-1.2213168499541387</v>
      </c>
    </row>
    <row r="102" spans="1:24" x14ac:dyDescent="0.2">
      <c r="A102">
        <v>6004</v>
      </c>
      <c r="B102">
        <v>27</v>
      </c>
      <c r="C102" s="4">
        <f t="shared" si="9"/>
        <v>0</v>
      </c>
      <c r="D102" s="4">
        <f t="shared" si="9"/>
        <v>596.46822561224201</v>
      </c>
      <c r="E102" s="4">
        <f t="shared" si="9"/>
        <v>0</v>
      </c>
      <c r="F102" s="4">
        <f t="shared" si="9"/>
        <v>-136.78394979377401</v>
      </c>
      <c r="G102" s="4">
        <f t="shared" si="9"/>
        <v>0</v>
      </c>
      <c r="H102" s="4">
        <f t="shared" si="9"/>
        <v>0</v>
      </c>
      <c r="I102" s="4">
        <f t="shared" si="9"/>
        <v>144.25555851854921</v>
      </c>
      <c r="J102" s="4">
        <f t="shared" si="9"/>
        <v>-0.79857877697606017</v>
      </c>
      <c r="K102" s="4">
        <f t="shared" si="9"/>
        <v>-249.66007366829498</v>
      </c>
      <c r="L102" s="4">
        <f t="shared" si="9"/>
        <v>0</v>
      </c>
      <c r="M102" s="4">
        <f t="shared" si="9"/>
        <v>-3254.4759112879005</v>
      </c>
      <c r="N102" s="4">
        <f t="shared" si="9"/>
        <v>2656.8767816630998</v>
      </c>
      <c r="O102" s="4">
        <f t="shared" si="9"/>
        <v>113.6302646176847</v>
      </c>
      <c r="P102" s="4">
        <f t="shared" si="9"/>
        <v>-85.502738189262004</v>
      </c>
      <c r="Q102" s="4">
        <f t="shared" si="9"/>
        <v>7.0870501740003533E-2</v>
      </c>
      <c r="R102" s="4">
        <f t="shared" si="9"/>
        <v>0</v>
      </c>
      <c r="S102" s="4">
        <f t="shared" si="9"/>
        <v>-1917.0975945513401</v>
      </c>
      <c r="T102" s="4">
        <f t="shared" si="9"/>
        <v>91.550017160796997</v>
      </c>
      <c r="U102" s="4">
        <f t="shared" si="9"/>
        <v>0</v>
      </c>
      <c r="V102" s="4">
        <f t="shared" si="9"/>
        <v>570.40445871533802</v>
      </c>
      <c r="X102" s="3">
        <f t="shared" si="7"/>
        <v>-1.4710626694780971</v>
      </c>
    </row>
    <row r="103" spans="1:24" x14ac:dyDescent="0.2">
      <c r="A103">
        <v>6004</v>
      </c>
      <c r="B103">
        <v>28</v>
      </c>
      <c r="C103" s="4">
        <f t="shared" si="9"/>
        <v>0</v>
      </c>
      <c r="D103" s="4">
        <f t="shared" si="9"/>
        <v>616.76103049510402</v>
      </c>
      <c r="E103" s="4">
        <f t="shared" si="9"/>
        <v>0</v>
      </c>
      <c r="F103" s="4">
        <f t="shared" si="9"/>
        <v>-169.5425345406</v>
      </c>
      <c r="G103" s="4">
        <f t="shared" si="9"/>
        <v>0</v>
      </c>
      <c r="H103" s="4">
        <f t="shared" si="9"/>
        <v>0</v>
      </c>
      <c r="I103" s="4">
        <f t="shared" si="9"/>
        <v>158.1727518741086</v>
      </c>
      <c r="J103" s="4">
        <f t="shared" si="9"/>
        <v>-0.79857877697604995</v>
      </c>
      <c r="K103" s="4">
        <f t="shared" si="9"/>
        <v>-270.34193970958302</v>
      </c>
      <c r="L103" s="4">
        <f t="shared" si="9"/>
        <v>0</v>
      </c>
      <c r="M103" s="4">
        <f t="shared" si="9"/>
        <v>-3549.5060241195097</v>
      </c>
      <c r="N103" s="4">
        <f t="shared" si="9"/>
        <v>2850.5444707329998</v>
      </c>
      <c r="O103" s="4">
        <f t="shared" si="9"/>
        <v>118.9468448022365</v>
      </c>
      <c r="P103" s="4">
        <f t="shared" si="9"/>
        <v>-101.54631175137899</v>
      </c>
      <c r="Q103" s="4">
        <f t="shared" si="9"/>
        <v>7.0870501740003533E-2</v>
      </c>
      <c r="R103" s="4">
        <f t="shared" si="9"/>
        <v>0</v>
      </c>
      <c r="S103" s="4">
        <f t="shared" si="9"/>
        <v>-2076.0326255673299</v>
      </c>
      <c r="T103" s="4">
        <f t="shared" si="9"/>
        <v>98.434054413553994</v>
      </c>
      <c r="U103" s="4">
        <f t="shared" si="9"/>
        <v>0</v>
      </c>
      <c r="V103" s="4">
        <f t="shared" si="9"/>
        <v>585.60894714651999</v>
      </c>
      <c r="X103" s="3">
        <f t="shared" si="7"/>
        <v>-1.7392290444991148</v>
      </c>
    </row>
    <row r="104" spans="1:24" x14ac:dyDescent="0.2">
      <c r="A104">
        <v>6004</v>
      </c>
      <c r="B104">
        <v>29</v>
      </c>
      <c r="C104" s="4">
        <f t="shared" si="9"/>
        <v>0</v>
      </c>
      <c r="D104" s="4">
        <f t="shared" si="9"/>
        <v>660.50937018988395</v>
      </c>
      <c r="E104" s="4">
        <f t="shared" si="9"/>
        <v>0</v>
      </c>
      <c r="F104" s="4">
        <f t="shared" si="9"/>
        <v>-201.69408953150099</v>
      </c>
      <c r="G104" s="4">
        <f t="shared" si="9"/>
        <v>0</v>
      </c>
      <c r="H104" s="4">
        <f t="shared" si="9"/>
        <v>0</v>
      </c>
      <c r="I104" s="4">
        <f t="shared" si="9"/>
        <v>172.6481781221332</v>
      </c>
      <c r="J104" s="4">
        <f t="shared" si="9"/>
        <v>-0.79857877697605406</v>
      </c>
      <c r="K104" s="4">
        <f t="shared" si="9"/>
        <v>-335.53749216609197</v>
      </c>
      <c r="L104" s="4">
        <f t="shared" si="9"/>
        <v>0</v>
      </c>
      <c r="M104" s="4">
        <f t="shared" si="9"/>
        <v>-3858.0438528177801</v>
      </c>
      <c r="N104" s="4">
        <f t="shared" si="9"/>
        <v>3066.15549980068</v>
      </c>
      <c r="O104" s="4">
        <f t="shared" si="9"/>
        <v>124.04252545144949</v>
      </c>
      <c r="P104" s="4">
        <f t="shared" si="9"/>
        <v>-115.04183322170695</v>
      </c>
      <c r="Q104" s="4">
        <f t="shared" si="9"/>
        <v>7.0870501740003533E-2</v>
      </c>
      <c r="R104" s="4">
        <f t="shared" si="9"/>
        <v>0</v>
      </c>
      <c r="S104" s="4">
        <f t="shared" si="9"/>
        <v>-2242.7629603001396</v>
      </c>
      <c r="T104" s="4">
        <f t="shared" si="9"/>
        <v>98.73687708489399</v>
      </c>
      <c r="U104" s="4">
        <f t="shared" si="9"/>
        <v>0</v>
      </c>
      <c r="V104" s="4">
        <f t="shared" si="9"/>
        <v>610.83501462964091</v>
      </c>
      <c r="X104" s="3">
        <f t="shared" si="7"/>
        <v>-2.0208804710337742</v>
      </c>
    </row>
    <row r="105" spans="1:24" x14ac:dyDescent="0.2">
      <c r="A105">
        <v>6004</v>
      </c>
      <c r="B105">
        <v>30</v>
      </c>
      <c r="C105" s="4">
        <f t="shared" si="9"/>
        <v>0</v>
      </c>
      <c r="D105" s="4">
        <f t="shared" si="9"/>
        <v>759.62575318392396</v>
      </c>
      <c r="E105" s="4">
        <f t="shared" si="9"/>
        <v>0</v>
      </c>
      <c r="F105" s="4">
        <f t="shared" si="9"/>
        <v>-233.20139018796004</v>
      </c>
      <c r="G105" s="4">
        <f t="shared" si="9"/>
        <v>0</v>
      </c>
      <c r="H105" s="4">
        <f t="shared" si="9"/>
        <v>0</v>
      </c>
      <c r="I105" s="4">
        <f t="shared" si="9"/>
        <v>187.678456608407</v>
      </c>
      <c r="J105" s="4">
        <f t="shared" si="9"/>
        <v>0</v>
      </c>
      <c r="K105" s="4">
        <f t="shared" si="9"/>
        <v>-357.60358197189896</v>
      </c>
      <c r="L105" s="4">
        <f t="shared" si="9"/>
        <v>0</v>
      </c>
      <c r="M105" s="4">
        <f t="shared" si="9"/>
        <v>-4209.0683802588401</v>
      </c>
      <c r="N105" s="4">
        <f t="shared" si="9"/>
        <v>3321.4321800207799</v>
      </c>
      <c r="O105" s="4">
        <f t="shared" si="9"/>
        <v>128.8803768189353</v>
      </c>
      <c r="P105" s="4">
        <f t="shared" si="9"/>
        <v>-125.69151631677607</v>
      </c>
      <c r="Q105" s="4">
        <f t="shared" si="9"/>
        <v>-5.8335461479970263E-3</v>
      </c>
      <c r="R105" s="4">
        <f t="shared" si="9"/>
        <v>0</v>
      </c>
      <c r="S105" s="4">
        <f t="shared" si="9"/>
        <v>-2420.2649768612901</v>
      </c>
      <c r="T105" s="4">
        <f t="shared" si="9"/>
        <v>101.937738547915</v>
      </c>
      <c r="U105" s="4">
        <f t="shared" si="9"/>
        <v>0</v>
      </c>
      <c r="V105" s="4">
        <f t="shared" si="9"/>
        <v>616.19965188132596</v>
      </c>
      <c r="X105" s="3">
        <f t="shared" si="7"/>
        <v>-2.2300815220816261</v>
      </c>
    </row>
    <row r="106" spans="1:24" x14ac:dyDescent="0.2">
      <c r="A106">
        <v>6004</v>
      </c>
      <c r="B106">
        <v>31</v>
      </c>
      <c r="C106" s="4">
        <f t="shared" si="9"/>
        <v>0</v>
      </c>
      <c r="D106" s="4">
        <f t="shared" si="9"/>
        <v>812.74165137768796</v>
      </c>
      <c r="E106" s="4">
        <f t="shared" si="9"/>
        <v>0</v>
      </c>
      <c r="F106" s="4">
        <f t="shared" si="9"/>
        <v>-263.97961468698799</v>
      </c>
      <c r="G106" s="4">
        <f t="shared" si="9"/>
        <v>0</v>
      </c>
      <c r="H106" s="4">
        <f t="shared" si="9"/>
        <v>0</v>
      </c>
      <c r="I106" s="4">
        <f t="shared" si="9"/>
        <v>203.1865954097473</v>
      </c>
      <c r="J106" s="4">
        <f t="shared" si="9"/>
        <v>0</v>
      </c>
      <c r="K106" s="4">
        <f t="shared" si="9"/>
        <v>-380.33015184583002</v>
      </c>
      <c r="L106" s="4">
        <f t="shared" si="9"/>
        <v>0</v>
      </c>
      <c r="M106" s="4">
        <f t="shared" si="9"/>
        <v>-4545.0271515074401</v>
      </c>
      <c r="N106" s="4">
        <f t="shared" si="9"/>
        <v>3517.9720859620802</v>
      </c>
      <c r="O106" s="4">
        <f t="shared" si="9"/>
        <v>133.4360746488656</v>
      </c>
      <c r="P106" s="4">
        <f t="shared" si="9"/>
        <v>-132.54601730514707</v>
      </c>
      <c r="Q106" s="4">
        <f t="shared" si="9"/>
        <v>-5.8335461479970263E-3</v>
      </c>
      <c r="R106" s="4">
        <f t="shared" si="9"/>
        <v>0</v>
      </c>
      <c r="S106" s="4">
        <f t="shared" si="9"/>
        <v>-2602.043504127404</v>
      </c>
      <c r="T106" s="4">
        <f t="shared" si="9"/>
        <v>104.84798211507899</v>
      </c>
      <c r="U106" s="4">
        <f t="shared" si="9"/>
        <v>0</v>
      </c>
      <c r="V106" s="4">
        <f t="shared" si="9"/>
        <v>631.95577442539707</v>
      </c>
      <c r="X106" s="3">
        <f t="shared" si="7"/>
        <v>-2.5197921090801003</v>
      </c>
    </row>
    <row r="107" spans="1:24" x14ac:dyDescent="0.2">
      <c r="A107">
        <v>6004</v>
      </c>
      <c r="B107">
        <v>32</v>
      </c>
      <c r="C107" s="4">
        <f t="shared" si="9"/>
        <v>0</v>
      </c>
      <c r="D107" s="4">
        <f t="shared" si="9"/>
        <v>818.50904666816996</v>
      </c>
      <c r="E107" s="4">
        <f t="shared" si="9"/>
        <v>0</v>
      </c>
      <c r="F107" s="4">
        <f t="shared" si="9"/>
        <v>-293.97046386640903</v>
      </c>
      <c r="G107" s="4">
        <f t="shared" si="9"/>
        <v>0</v>
      </c>
      <c r="H107" s="4">
        <f t="shared" si="9"/>
        <v>0</v>
      </c>
      <c r="I107" s="4">
        <f t="shared" si="9"/>
        <v>219.216050631618</v>
      </c>
      <c r="J107" s="4">
        <f t="shared" si="9"/>
        <v>0</v>
      </c>
      <c r="K107" s="4">
        <f t="shared" si="9"/>
        <v>-403.76233627374302</v>
      </c>
      <c r="L107" s="4">
        <f t="shared" si="9"/>
        <v>0</v>
      </c>
      <c r="M107" s="4">
        <f t="shared" si="9"/>
        <v>-4894.4613966612205</v>
      </c>
      <c r="N107" s="4">
        <f t="shared" si="9"/>
        <v>3736.7274697341199</v>
      </c>
      <c r="O107" s="4">
        <f t="shared" si="9"/>
        <v>137.7007050320787</v>
      </c>
      <c r="P107" s="4">
        <f t="shared" si="9"/>
        <v>-139.70651723909202</v>
      </c>
      <c r="Q107" s="4">
        <f t="shared" si="9"/>
        <v>-5.8335461479970263E-3</v>
      </c>
      <c r="R107" s="4">
        <f t="shared" si="9"/>
        <v>0</v>
      </c>
      <c r="S107" s="4">
        <f t="shared" si="9"/>
        <v>-2795.1076827356369</v>
      </c>
      <c r="T107" s="4">
        <f t="shared" si="9"/>
        <v>107.46212335149102</v>
      </c>
      <c r="U107" s="4">
        <f t="shared" si="9"/>
        <v>0</v>
      </c>
      <c r="V107" s="4">
        <f t="shared" si="9"/>
        <v>651.56361807920894</v>
      </c>
      <c r="X107" s="3">
        <f t="shared" si="7"/>
        <v>-2.8558352168255627</v>
      </c>
    </row>
    <row r="108" spans="1:24" x14ac:dyDescent="0.2">
      <c r="A108">
        <v>6004</v>
      </c>
      <c r="B108">
        <v>33</v>
      </c>
      <c r="C108" s="4">
        <f t="shared" si="9"/>
        <v>0</v>
      </c>
      <c r="D108" s="4">
        <f t="shared" si="9"/>
        <v>859.15722083670801</v>
      </c>
      <c r="E108" s="4">
        <f t="shared" si="9"/>
        <v>0</v>
      </c>
      <c r="F108" s="4">
        <f t="shared" si="9"/>
        <v>-323.16920499896099</v>
      </c>
      <c r="G108" s="4">
        <f t="shared" si="9"/>
        <v>0</v>
      </c>
      <c r="H108" s="4">
        <f t="shared" si="9"/>
        <v>0</v>
      </c>
      <c r="I108" s="4">
        <f t="shared" si="9"/>
        <v>235.77382971125272</v>
      </c>
      <c r="J108" s="4">
        <f t="shared" si="9"/>
        <v>0</v>
      </c>
      <c r="K108" s="4">
        <f t="shared" si="9"/>
        <v>-427.84941123303304</v>
      </c>
      <c r="L108" s="4">
        <f t="shared" si="9"/>
        <v>0</v>
      </c>
      <c r="M108" s="4">
        <f t="shared" si="9"/>
        <v>-5277.6088841967203</v>
      </c>
      <c r="N108" s="4">
        <f t="shared" si="9"/>
        <v>3966.7058680943601</v>
      </c>
      <c r="O108" s="4">
        <f t="shared" si="9"/>
        <v>141.676710049989</v>
      </c>
      <c r="P108" s="4">
        <f t="shared" si="9"/>
        <v>-146.49395631608701</v>
      </c>
      <c r="Q108" s="4">
        <f t="shared" si="9"/>
        <v>-5.8335461479970263E-3</v>
      </c>
      <c r="R108" s="4">
        <f t="shared" si="9"/>
        <v>0</v>
      </c>
      <c r="S108" s="4">
        <f t="shared" si="9"/>
        <v>-2979.745800022496</v>
      </c>
      <c r="T108" s="4">
        <f t="shared" si="9"/>
        <v>109.78370977094902</v>
      </c>
      <c r="U108" s="4">
        <f t="shared" si="9"/>
        <v>0</v>
      </c>
      <c r="V108" s="4">
        <f t="shared" si="9"/>
        <v>686.60570294150307</v>
      </c>
      <c r="X108" s="3">
        <f t="shared" si="7"/>
        <v>-3.1551700489086834</v>
      </c>
    </row>
    <row r="109" spans="1:24" x14ac:dyDescent="0.2">
      <c r="A109">
        <v>6004</v>
      </c>
      <c r="B109">
        <v>34</v>
      </c>
      <c r="C109" s="4">
        <f t="shared" si="9"/>
        <v>0</v>
      </c>
      <c r="D109" s="4">
        <f t="shared" si="9"/>
        <v>859.15722083670801</v>
      </c>
      <c r="E109" s="4">
        <f t="shared" si="9"/>
        <v>0</v>
      </c>
      <c r="F109" s="4">
        <f t="shared" si="9"/>
        <v>-351.59046997480999</v>
      </c>
      <c r="G109" s="4">
        <f t="shared" si="9"/>
        <v>0</v>
      </c>
      <c r="H109" s="4">
        <f t="shared" si="9"/>
        <v>0</v>
      </c>
      <c r="I109" s="4">
        <f t="shared" si="9"/>
        <v>252.87557032072638</v>
      </c>
      <c r="J109" s="4">
        <f t="shared" si="9"/>
        <v>0</v>
      </c>
      <c r="K109" s="4">
        <f t="shared" si="9"/>
        <v>-452.48776029107933</v>
      </c>
      <c r="L109" s="4">
        <f t="shared" si="9"/>
        <v>0</v>
      </c>
      <c r="M109" s="4">
        <f t="shared" si="9"/>
        <v>-5655.7185294128649</v>
      </c>
      <c r="N109" s="4">
        <f t="shared" si="9"/>
        <v>4199.8049848907403</v>
      </c>
      <c r="O109" s="4">
        <f t="shared" si="9"/>
        <v>145.37235609624338</v>
      </c>
      <c r="P109" s="4">
        <f t="shared" si="9"/>
        <v>-153.20728579966107</v>
      </c>
      <c r="Q109" s="4">
        <f t="shared" si="9"/>
        <v>-5.8335461479970263E-3</v>
      </c>
      <c r="R109" s="4">
        <f t="shared" ref="R109:V109" si="10">+(R68-R28)</f>
        <v>0</v>
      </c>
      <c r="S109" s="4">
        <f t="shared" si="10"/>
        <v>-3181.6299450898318</v>
      </c>
      <c r="T109" s="4">
        <f t="shared" si="10"/>
        <v>111.820551701799</v>
      </c>
      <c r="U109" s="4">
        <f t="shared" si="10"/>
        <v>0</v>
      </c>
      <c r="V109" s="4">
        <f t="shared" si="10"/>
        <v>689.58654177063613</v>
      </c>
      <c r="X109" s="3">
        <f t="shared" si="7"/>
        <v>-3.5360225984975422</v>
      </c>
    </row>
    <row r="110" spans="1:24" x14ac:dyDescent="0.2">
      <c r="A110">
        <v>6004</v>
      </c>
      <c r="B110">
        <v>35</v>
      </c>
      <c r="C110" s="4">
        <f t="shared" ref="C110:V120" si="11">+(C69-C29)</f>
        <v>0</v>
      </c>
      <c r="D110" s="4">
        <f t="shared" si="11"/>
        <v>929.28667729049596</v>
      </c>
      <c r="E110" s="4">
        <f t="shared" si="11"/>
        <v>0</v>
      </c>
      <c r="F110" s="4">
        <f t="shared" si="11"/>
        <v>-379.22487578693796</v>
      </c>
      <c r="G110" s="4">
        <f t="shared" si="11"/>
        <v>0</v>
      </c>
      <c r="H110" s="4">
        <f t="shared" si="11"/>
        <v>0</v>
      </c>
      <c r="I110" s="4">
        <f t="shared" si="11"/>
        <v>270.53368875493379</v>
      </c>
      <c r="J110" s="4">
        <f t="shared" si="11"/>
        <v>0</v>
      </c>
      <c r="K110" s="4">
        <f t="shared" si="11"/>
        <v>-477.87465781236864</v>
      </c>
      <c r="L110" s="4">
        <f t="shared" si="11"/>
        <v>0</v>
      </c>
      <c r="M110" s="4">
        <f t="shared" si="11"/>
        <v>-6074.2377265864852</v>
      </c>
      <c r="N110" s="4">
        <f t="shared" si="11"/>
        <v>4436.4856407420302</v>
      </c>
      <c r="O110" s="4">
        <f t="shared" si="11"/>
        <v>148.78980317955009</v>
      </c>
      <c r="P110" s="4">
        <f t="shared" si="11"/>
        <v>-159.91858953511303</v>
      </c>
      <c r="Q110" s="4">
        <f t="shared" si="11"/>
        <v>-5.8335461479970263E-3</v>
      </c>
      <c r="R110" s="4">
        <f t="shared" si="11"/>
        <v>0</v>
      </c>
      <c r="S110" s="4">
        <f t="shared" si="11"/>
        <v>-3377.0155742650636</v>
      </c>
      <c r="T110" s="4">
        <f t="shared" si="11"/>
        <v>113.608720509506</v>
      </c>
      <c r="U110" s="4">
        <f t="shared" si="11"/>
        <v>0</v>
      </c>
      <c r="V110" s="4">
        <f t="shared" si="11"/>
        <v>716.15005819693397</v>
      </c>
      <c r="X110" s="3">
        <f t="shared" si="7"/>
        <v>-3.8534226688586659</v>
      </c>
    </row>
    <row r="111" spans="1:24" x14ac:dyDescent="0.2">
      <c r="A111">
        <v>6004</v>
      </c>
      <c r="B111">
        <v>36</v>
      </c>
      <c r="C111" s="4">
        <f t="shared" si="11"/>
        <v>0</v>
      </c>
      <c r="D111" s="4">
        <f t="shared" si="11"/>
        <v>929.28667729049596</v>
      </c>
      <c r="E111" s="4">
        <f t="shared" si="11"/>
        <v>0</v>
      </c>
      <c r="F111" s="4">
        <f t="shared" si="11"/>
        <v>-419.33104938474997</v>
      </c>
      <c r="G111" s="4">
        <f t="shared" si="11"/>
        <v>0</v>
      </c>
      <c r="H111" s="4">
        <f t="shared" si="11"/>
        <v>0</v>
      </c>
      <c r="I111" s="4">
        <f t="shared" si="11"/>
        <v>288.12041185778548</v>
      </c>
      <c r="J111" s="4">
        <f t="shared" si="11"/>
        <v>0</v>
      </c>
      <c r="K111" s="4">
        <f t="shared" si="11"/>
        <v>-504.85673601620806</v>
      </c>
      <c r="L111" s="4">
        <f t="shared" si="11"/>
        <v>0</v>
      </c>
      <c r="M111" s="4">
        <f t="shared" si="11"/>
        <v>-6492.0887659884711</v>
      </c>
      <c r="N111" s="4">
        <f t="shared" si="11"/>
        <v>4682.3054857670104</v>
      </c>
      <c r="O111" s="4">
        <f t="shared" si="11"/>
        <v>155.25374974163913</v>
      </c>
      <c r="P111" s="4">
        <f t="shared" si="11"/>
        <v>-170.32977196307399</v>
      </c>
      <c r="Q111" s="4">
        <f t="shared" si="11"/>
        <v>-5.8335461479970263E-3</v>
      </c>
      <c r="R111" s="4">
        <f t="shared" si="11"/>
        <v>0</v>
      </c>
      <c r="S111" s="4">
        <f t="shared" si="11"/>
        <v>-3582.466332838394</v>
      </c>
      <c r="T111" s="4">
        <f t="shared" si="11"/>
        <v>118.33451671715999</v>
      </c>
      <c r="U111" s="4">
        <f t="shared" si="11"/>
        <v>0</v>
      </c>
      <c r="V111" s="4">
        <f t="shared" si="11"/>
        <v>766.47378344015488</v>
      </c>
      <c r="X111" s="3">
        <f t="shared" si="7"/>
        <v>-4.229303864922799</v>
      </c>
    </row>
    <row r="112" spans="1:24" x14ac:dyDescent="0.2">
      <c r="A112">
        <v>6004</v>
      </c>
      <c r="B112">
        <v>37</v>
      </c>
      <c r="C112" s="4">
        <f t="shared" si="11"/>
        <v>0</v>
      </c>
      <c r="D112" s="4">
        <f t="shared" si="11"/>
        <v>965.54115472755598</v>
      </c>
      <c r="E112" s="4">
        <f t="shared" si="11"/>
        <v>0</v>
      </c>
      <c r="F112" s="4">
        <f t="shared" si="11"/>
        <v>-459.90835538801895</v>
      </c>
      <c r="G112" s="4">
        <f t="shared" si="11"/>
        <v>0</v>
      </c>
      <c r="H112" s="4">
        <f t="shared" si="11"/>
        <v>0</v>
      </c>
      <c r="I112" s="4">
        <f t="shared" si="11"/>
        <v>306.17813821037191</v>
      </c>
      <c r="J112" s="4">
        <f t="shared" si="11"/>
        <v>0</v>
      </c>
      <c r="K112" s="4">
        <f t="shared" si="11"/>
        <v>-532.23926284975437</v>
      </c>
      <c r="L112" s="4">
        <f t="shared" si="11"/>
        <v>0</v>
      </c>
      <c r="M112" s="4">
        <f t="shared" si="11"/>
        <v>-6921.4469898614661</v>
      </c>
      <c r="N112" s="4">
        <f t="shared" si="11"/>
        <v>4929.0921889322199</v>
      </c>
      <c r="O112" s="4">
        <f t="shared" si="11"/>
        <v>161.5351968756423</v>
      </c>
      <c r="P112" s="4">
        <f t="shared" si="11"/>
        <v>-180.86818816923494</v>
      </c>
      <c r="Q112" s="4">
        <f t="shared" si="11"/>
        <v>-5.8335461479970263E-3</v>
      </c>
      <c r="R112" s="4">
        <f t="shared" si="11"/>
        <v>0</v>
      </c>
      <c r="S112" s="4">
        <f t="shared" si="11"/>
        <v>-3798.9409262466102</v>
      </c>
      <c r="T112" s="4">
        <f t="shared" si="11"/>
        <v>122.782438004252</v>
      </c>
      <c r="U112" s="4">
        <f t="shared" si="11"/>
        <v>0</v>
      </c>
      <c r="V112" s="4">
        <f t="shared" si="11"/>
        <v>864.83828048201985</v>
      </c>
      <c r="X112" s="3">
        <f t="shared" si="7"/>
        <v>-4.5434421588291709</v>
      </c>
    </row>
    <row r="113" spans="1:24" x14ac:dyDescent="0.2">
      <c r="A113">
        <v>6004</v>
      </c>
      <c r="B113">
        <v>38</v>
      </c>
      <c r="C113" s="4">
        <f t="shared" si="11"/>
        <v>0</v>
      </c>
      <c r="D113" s="4">
        <f t="shared" si="11"/>
        <v>1017.76413938415</v>
      </c>
      <c r="E113" s="4">
        <f t="shared" si="11"/>
        <v>0</v>
      </c>
      <c r="F113" s="4">
        <f t="shared" si="11"/>
        <v>-500.83626484607504</v>
      </c>
      <c r="G113" s="4">
        <f t="shared" si="11"/>
        <v>0</v>
      </c>
      <c r="H113" s="4">
        <f t="shared" si="11"/>
        <v>0</v>
      </c>
      <c r="I113" s="4">
        <f t="shared" si="11"/>
        <v>324.67401261139281</v>
      </c>
      <c r="J113" s="4">
        <f t="shared" si="11"/>
        <v>0</v>
      </c>
      <c r="K113" s="4">
        <f t="shared" si="11"/>
        <v>-559.86322931592269</v>
      </c>
      <c r="L113" s="4">
        <f t="shared" si="11"/>
        <v>0</v>
      </c>
      <c r="M113" s="4">
        <f t="shared" si="11"/>
        <v>-7362.8003517945599</v>
      </c>
      <c r="N113" s="4">
        <f t="shared" si="11"/>
        <v>5272.3179753168497</v>
      </c>
      <c r="O113" s="4">
        <f t="shared" si="11"/>
        <v>167.63142707399118</v>
      </c>
      <c r="P113" s="4">
        <f t="shared" si="11"/>
        <v>-191.45766318750799</v>
      </c>
      <c r="Q113" s="4">
        <f t="shared" si="11"/>
        <v>-5.8335461479970263E-3</v>
      </c>
      <c r="R113" s="4">
        <f t="shared" si="11"/>
        <v>0</v>
      </c>
      <c r="S113" s="4">
        <f t="shared" si="11"/>
        <v>-4009.6375648326457</v>
      </c>
      <c r="T113" s="4">
        <f t="shared" si="11"/>
        <v>128.14650808166198</v>
      </c>
      <c r="U113" s="4">
        <f t="shared" si="11"/>
        <v>0</v>
      </c>
      <c r="V113" s="4">
        <f t="shared" si="11"/>
        <v>1030.0369722167559</v>
      </c>
      <c r="X113" s="3">
        <f t="shared" si="7"/>
        <v>-4.6840298728380567</v>
      </c>
    </row>
    <row r="114" spans="1:24" x14ac:dyDescent="0.2">
      <c r="A114">
        <v>6004</v>
      </c>
      <c r="B114">
        <v>39</v>
      </c>
      <c r="C114" s="4">
        <f t="shared" si="11"/>
        <v>0</v>
      </c>
      <c r="D114" s="4">
        <f t="shared" si="11"/>
        <v>1050.28743478157</v>
      </c>
      <c r="E114" s="4">
        <f t="shared" si="11"/>
        <v>0</v>
      </c>
      <c r="F114" s="4">
        <f t="shared" si="11"/>
        <v>-542.09011666969991</v>
      </c>
      <c r="G114" s="4">
        <f t="shared" si="11"/>
        <v>0</v>
      </c>
      <c r="H114" s="4">
        <f t="shared" si="11"/>
        <v>0</v>
      </c>
      <c r="I114" s="4">
        <f t="shared" si="11"/>
        <v>343.60585168184787</v>
      </c>
      <c r="J114" s="4">
        <f t="shared" si="11"/>
        <v>0</v>
      </c>
      <c r="K114" s="4">
        <f t="shared" si="11"/>
        <v>-574.70695597637268</v>
      </c>
      <c r="L114" s="4">
        <f t="shared" si="11"/>
        <v>0</v>
      </c>
      <c r="M114" s="4">
        <f t="shared" si="11"/>
        <v>-7603.6246996900991</v>
      </c>
      <c r="N114" s="4">
        <f t="shared" si="11"/>
        <v>5470.6654853610398</v>
      </c>
      <c r="O114" s="4">
        <f t="shared" si="11"/>
        <v>173.3532105128173</v>
      </c>
      <c r="P114" s="4">
        <f t="shared" si="11"/>
        <v>-191.45766318750799</v>
      </c>
      <c r="Q114" s="4">
        <f t="shared" si="11"/>
        <v>-5.8335461479970263E-3</v>
      </c>
      <c r="R114" s="4">
        <f t="shared" si="11"/>
        <v>0</v>
      </c>
      <c r="S114" s="4">
        <f t="shared" si="11"/>
        <v>-4107.4549602368961</v>
      </c>
      <c r="T114" s="4">
        <f t="shared" si="11"/>
        <v>135.12399280941</v>
      </c>
      <c r="U114" s="4">
        <f t="shared" si="11"/>
        <v>0</v>
      </c>
      <c r="V114" s="4">
        <f t="shared" si="11"/>
        <v>1013.533513949501</v>
      </c>
      <c r="X114" s="3">
        <f t="shared" si="7"/>
        <v>-4.8327707402105382</v>
      </c>
    </row>
    <row r="115" spans="1:24" x14ac:dyDescent="0.2">
      <c r="A115">
        <v>6004</v>
      </c>
      <c r="B115">
        <v>40</v>
      </c>
      <c r="C115" s="4">
        <f t="shared" si="11"/>
        <v>0</v>
      </c>
      <c r="D115" s="4">
        <f t="shared" si="11"/>
        <v>1079.6017125396199</v>
      </c>
      <c r="E115" s="4">
        <f t="shared" si="11"/>
        <v>0</v>
      </c>
      <c r="F115" s="4">
        <f t="shared" si="11"/>
        <v>-583.5421701016769</v>
      </c>
      <c r="G115" s="4">
        <f t="shared" si="11"/>
        <v>0</v>
      </c>
      <c r="H115" s="4">
        <f t="shared" si="11"/>
        <v>0</v>
      </c>
      <c r="I115" s="4">
        <f t="shared" si="11"/>
        <v>362.93549697979461</v>
      </c>
      <c r="J115" s="4">
        <f t="shared" si="11"/>
        <v>0</v>
      </c>
      <c r="K115" s="4">
        <f t="shared" si="11"/>
        <v>-589.49650825693072</v>
      </c>
      <c r="L115" s="4">
        <f t="shared" si="11"/>
        <v>0</v>
      </c>
      <c r="M115" s="4">
        <f t="shared" si="11"/>
        <v>-7846.4948443944995</v>
      </c>
      <c r="N115" s="4">
        <f t="shared" si="11"/>
        <v>5742.1796192021502</v>
      </c>
      <c r="O115" s="4">
        <f t="shared" si="11"/>
        <v>178.741455071654</v>
      </c>
      <c r="P115" s="4">
        <f t="shared" si="11"/>
        <v>-191.45766318750799</v>
      </c>
      <c r="Q115" s="4">
        <f t="shared" si="11"/>
        <v>-5.8335461479970263E-3</v>
      </c>
      <c r="R115" s="4">
        <f t="shared" si="11"/>
        <v>0</v>
      </c>
      <c r="S115" s="4">
        <f t="shared" si="11"/>
        <v>-4212.3119557206728</v>
      </c>
      <c r="T115" s="4">
        <f t="shared" si="11"/>
        <v>141.77129411380304</v>
      </c>
      <c r="U115" s="4">
        <f t="shared" si="11"/>
        <v>0</v>
      </c>
      <c r="V115" s="4">
        <f t="shared" si="11"/>
        <v>869.78921227118008</v>
      </c>
      <c r="X115" s="3">
        <f t="shared" si="7"/>
        <v>-5.0482901850292343</v>
      </c>
    </row>
    <row r="116" spans="1:24" x14ac:dyDescent="0.2">
      <c r="A116">
        <v>6004</v>
      </c>
      <c r="B116">
        <v>41</v>
      </c>
      <c r="C116" s="4">
        <f t="shared" si="11"/>
        <v>0</v>
      </c>
      <c r="D116" s="4">
        <f t="shared" si="11"/>
        <v>1105.42577750646</v>
      </c>
      <c r="E116" s="4">
        <f t="shared" si="11"/>
        <v>0</v>
      </c>
      <c r="F116" s="4">
        <f t="shared" si="11"/>
        <v>-625.17086958545906</v>
      </c>
      <c r="G116" s="4">
        <f t="shared" si="11"/>
        <v>0</v>
      </c>
      <c r="H116" s="4">
        <f t="shared" si="11"/>
        <v>0</v>
      </c>
      <c r="I116" s="4">
        <f t="shared" si="11"/>
        <v>382.66051397892591</v>
      </c>
      <c r="J116" s="4">
        <f t="shared" si="11"/>
        <v>0</v>
      </c>
      <c r="K116" s="4">
        <f t="shared" si="11"/>
        <v>-607.30560143528965</v>
      </c>
      <c r="L116" s="4">
        <f t="shared" si="11"/>
        <v>0</v>
      </c>
      <c r="M116" s="4">
        <f t="shared" si="11"/>
        <v>-8091.4042738758199</v>
      </c>
      <c r="N116" s="4">
        <f t="shared" si="11"/>
        <v>5953.5778491069204</v>
      </c>
      <c r="O116" s="4">
        <f t="shared" si="11"/>
        <v>200.4286616190218</v>
      </c>
      <c r="P116" s="4">
        <f t="shared" si="11"/>
        <v>-191.45766318750799</v>
      </c>
      <c r="Q116" s="4">
        <f t="shared" si="11"/>
        <v>-5.8335461479970263E-3</v>
      </c>
      <c r="R116" s="4">
        <f t="shared" si="11"/>
        <v>0</v>
      </c>
      <c r="S116" s="4">
        <f t="shared" si="11"/>
        <v>-4309.5765919885125</v>
      </c>
      <c r="T116" s="4">
        <f t="shared" si="11"/>
        <v>143.43500202850302</v>
      </c>
      <c r="U116" s="4">
        <f t="shared" si="11"/>
        <v>0</v>
      </c>
      <c r="V116" s="4">
        <f t="shared" si="11"/>
        <v>807.27442736799389</v>
      </c>
      <c r="X116" s="3">
        <f t="shared" si="7"/>
        <v>-5.2321186020109129</v>
      </c>
    </row>
    <row r="117" spans="1:24" x14ac:dyDescent="0.2">
      <c r="A117">
        <v>6004</v>
      </c>
      <c r="B117">
        <v>42</v>
      </c>
      <c r="C117" s="4">
        <f t="shared" si="11"/>
        <v>0</v>
      </c>
      <c r="D117" s="4">
        <f t="shared" si="11"/>
        <v>1127.57552514023</v>
      </c>
      <c r="E117" s="4">
        <f t="shared" si="11"/>
        <v>0</v>
      </c>
      <c r="F117" s="4">
        <f t="shared" si="11"/>
        <v>-667.016105463043</v>
      </c>
      <c r="G117" s="4">
        <f t="shared" si="11"/>
        <v>0</v>
      </c>
      <c r="H117" s="4">
        <f t="shared" si="11"/>
        <v>0</v>
      </c>
      <c r="I117" s="4">
        <f t="shared" si="11"/>
        <v>404.3474455649087</v>
      </c>
      <c r="J117" s="4">
        <f t="shared" si="11"/>
        <v>0</v>
      </c>
      <c r="K117" s="4">
        <f t="shared" si="11"/>
        <v>-619.00850231296965</v>
      </c>
      <c r="L117" s="4">
        <f t="shared" si="11"/>
        <v>0</v>
      </c>
      <c r="M117" s="4">
        <f t="shared" si="11"/>
        <v>-8339.5331609935893</v>
      </c>
      <c r="N117" s="4">
        <f t="shared" si="11"/>
        <v>6160.5578533283797</v>
      </c>
      <c r="O117" s="4">
        <f t="shared" si="11"/>
        <v>213.96273780142602</v>
      </c>
      <c r="P117" s="4">
        <f t="shared" si="11"/>
        <v>-191.45766318750799</v>
      </c>
      <c r="Q117" s="4">
        <f t="shared" si="11"/>
        <v>-5.8335461479970263E-3</v>
      </c>
      <c r="R117" s="4">
        <f t="shared" si="11"/>
        <v>0</v>
      </c>
      <c r="S117" s="4">
        <f t="shared" si="11"/>
        <v>-4407.0324235104827</v>
      </c>
      <c r="T117" s="4">
        <f t="shared" si="11"/>
        <v>144.05877643452999</v>
      </c>
      <c r="U117" s="4">
        <f t="shared" si="11"/>
        <v>0</v>
      </c>
      <c r="V117" s="4">
        <f t="shared" si="11"/>
        <v>739.75890164277894</v>
      </c>
      <c r="X117" s="3">
        <f t="shared" si="7"/>
        <v>-5.4337924491014862</v>
      </c>
    </row>
    <row r="118" spans="1:24" x14ac:dyDescent="0.2">
      <c r="A118">
        <v>6004</v>
      </c>
      <c r="B118">
        <v>43</v>
      </c>
      <c r="C118" s="4">
        <f t="shared" si="11"/>
        <v>0</v>
      </c>
      <c r="D118" s="4">
        <f t="shared" si="11"/>
        <v>1146.36906485029</v>
      </c>
      <c r="E118" s="4">
        <f t="shared" si="11"/>
        <v>0</v>
      </c>
      <c r="F118" s="4">
        <f t="shared" si="11"/>
        <v>-709.059076763343</v>
      </c>
      <c r="G118" s="4">
        <f t="shared" si="11"/>
        <v>0</v>
      </c>
      <c r="H118" s="4">
        <f t="shared" si="11"/>
        <v>0</v>
      </c>
      <c r="I118" s="4">
        <f t="shared" si="11"/>
        <v>426.01702778061042</v>
      </c>
      <c r="J118" s="4">
        <f t="shared" si="11"/>
        <v>0</v>
      </c>
      <c r="K118" s="4">
        <f t="shared" si="11"/>
        <v>-633.80538826474969</v>
      </c>
      <c r="L118" s="4">
        <f t="shared" si="11"/>
        <v>0</v>
      </c>
      <c r="M118" s="4">
        <f t="shared" si="11"/>
        <v>-8590.6480427931201</v>
      </c>
      <c r="N118" s="4">
        <f t="shared" si="11"/>
        <v>6358.35505464369</v>
      </c>
      <c r="O118" s="4">
        <f t="shared" si="11"/>
        <v>242.18186425273564</v>
      </c>
      <c r="P118" s="4">
        <f t="shared" si="11"/>
        <v>-191.45766318750799</v>
      </c>
      <c r="Q118" s="4">
        <f t="shared" si="11"/>
        <v>-5.8335461479970263E-3</v>
      </c>
      <c r="R118" s="4">
        <f t="shared" si="11"/>
        <v>0</v>
      </c>
      <c r="S118" s="4">
        <f t="shared" si="11"/>
        <v>-4504.714581921623</v>
      </c>
      <c r="T118" s="4">
        <f t="shared" si="11"/>
        <v>147.78794129603898</v>
      </c>
      <c r="U118" s="4">
        <f t="shared" si="11"/>
        <v>0</v>
      </c>
      <c r="V118" s="4">
        <f t="shared" si="11"/>
        <v>670.05391520118314</v>
      </c>
      <c r="X118" s="3">
        <f t="shared" si="7"/>
        <v>-5.6389257184519437</v>
      </c>
    </row>
    <row r="119" spans="1:24" x14ac:dyDescent="0.2">
      <c r="A119">
        <v>6004</v>
      </c>
      <c r="B119">
        <v>44</v>
      </c>
      <c r="C119" s="4">
        <f t="shared" si="11"/>
        <v>0</v>
      </c>
      <c r="D119" s="4">
        <f t="shared" si="11"/>
        <v>1160.69013595455</v>
      </c>
      <c r="E119" s="4">
        <f t="shared" si="11"/>
        <v>0</v>
      </c>
      <c r="F119" s="4">
        <f t="shared" si="11"/>
        <v>-751.34470589191301</v>
      </c>
      <c r="G119" s="4">
        <f t="shared" si="11"/>
        <v>0</v>
      </c>
      <c r="H119" s="4">
        <f t="shared" si="11"/>
        <v>0</v>
      </c>
      <c r="I119" s="4">
        <f t="shared" si="11"/>
        <v>445.03287079091632</v>
      </c>
      <c r="J119" s="4">
        <f t="shared" si="11"/>
        <v>0</v>
      </c>
      <c r="K119" s="4">
        <f t="shared" si="11"/>
        <v>-652.70713434644665</v>
      </c>
      <c r="L119" s="4">
        <f t="shared" si="11"/>
        <v>0</v>
      </c>
      <c r="M119" s="4">
        <f t="shared" si="11"/>
        <v>-8845.5815533898203</v>
      </c>
      <c r="N119" s="4">
        <f t="shared" si="11"/>
        <v>6554.3019713005697</v>
      </c>
      <c r="O119" s="4">
        <f t="shared" si="11"/>
        <v>236.12037836381762</v>
      </c>
      <c r="P119" s="4">
        <f t="shared" si="11"/>
        <v>-191.45766318750799</v>
      </c>
      <c r="Q119" s="4">
        <f t="shared" si="11"/>
        <v>-5.8335461479970263E-3</v>
      </c>
      <c r="R119" s="4">
        <f t="shared" si="11"/>
        <v>0</v>
      </c>
      <c r="S119" s="4">
        <f t="shared" si="11"/>
        <v>-4603.0479662090829</v>
      </c>
      <c r="T119" s="4">
        <f t="shared" si="11"/>
        <v>133.61669359043901</v>
      </c>
      <c r="U119" s="4">
        <f t="shared" si="11"/>
        <v>0</v>
      </c>
      <c r="V119" s="4">
        <f t="shared" si="11"/>
        <v>604.01083466380305</v>
      </c>
      <c r="X119" s="3">
        <f t="shared" si="7"/>
        <v>-5.9103719719068231</v>
      </c>
    </row>
    <row r="120" spans="1:24" x14ac:dyDescent="0.2">
      <c r="A120">
        <v>6004</v>
      </c>
      <c r="B120">
        <v>45</v>
      </c>
      <c r="C120" s="4">
        <f t="shared" si="11"/>
        <v>0</v>
      </c>
      <c r="D120" s="4">
        <f t="shared" si="11"/>
        <v>1160.69013595455</v>
      </c>
      <c r="E120" s="4">
        <f t="shared" si="11"/>
        <v>0</v>
      </c>
      <c r="F120" s="4">
        <f t="shared" si="11"/>
        <v>-793.92493985831288</v>
      </c>
      <c r="G120" s="4">
        <f t="shared" si="11"/>
        <v>0</v>
      </c>
      <c r="H120" s="4">
        <f t="shared" si="11"/>
        <v>0</v>
      </c>
      <c r="I120" s="4">
        <f t="shared" si="11"/>
        <v>465.86259636976314</v>
      </c>
      <c r="J120" s="4">
        <f t="shared" si="11"/>
        <v>0</v>
      </c>
      <c r="K120" s="4">
        <f t="shared" si="11"/>
        <v>-663.75287969353167</v>
      </c>
      <c r="L120" s="4">
        <f t="shared" si="11"/>
        <v>0</v>
      </c>
      <c r="M120" s="4">
        <f t="shared" si="11"/>
        <v>-9105.6602549750096</v>
      </c>
      <c r="N120" s="4">
        <f t="shared" si="11"/>
        <v>9562.1392513249903</v>
      </c>
      <c r="O120" s="4">
        <f t="shared" si="11"/>
        <v>320.42008995322703</v>
      </c>
      <c r="P120" s="4">
        <f t="shared" si="11"/>
        <v>-191.45766318750799</v>
      </c>
      <c r="Q120" s="4">
        <f t="shared" si="11"/>
        <v>-5.8335461479970263E-3</v>
      </c>
      <c r="R120" s="4">
        <f t="shared" si="11"/>
        <v>0</v>
      </c>
      <c r="S120" s="4">
        <f t="shared" si="11"/>
        <v>-4702.470244254403</v>
      </c>
      <c r="T120" s="4">
        <f t="shared" si="11"/>
        <v>245.91259504955698</v>
      </c>
      <c r="U120" s="4">
        <f t="shared" si="11"/>
        <v>0</v>
      </c>
      <c r="V120" s="4">
        <f t="shared" si="11"/>
        <v>414.07181426877497</v>
      </c>
      <c r="X120" s="3">
        <f t="shared" si="7"/>
        <v>-3.2881753325940499</v>
      </c>
    </row>
    <row r="121" spans="1:24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X121" s="2"/>
    </row>
    <row r="122" spans="1:24" x14ac:dyDescent="0.2">
      <c r="C122" s="4">
        <f t="shared" ref="C122:L122" si="12">+SUM(C83:C120)</f>
        <v>0</v>
      </c>
      <c r="D122" s="4">
        <f t="shared" si="12"/>
        <v>21146.469319395714</v>
      </c>
      <c r="E122" s="4">
        <f t="shared" si="12"/>
        <v>0</v>
      </c>
      <c r="F122" s="4">
        <f t="shared" si="12"/>
        <v>-7439.2006470631641</v>
      </c>
      <c r="G122" s="4">
        <f t="shared" si="12"/>
        <v>0</v>
      </c>
      <c r="H122" s="4">
        <f t="shared" si="12"/>
        <v>0</v>
      </c>
      <c r="I122" s="4">
        <f t="shared" si="12"/>
        <v>6462.0137598276242</v>
      </c>
      <c r="J122" s="4">
        <f t="shared" si="12"/>
        <v>-98.029466961586351</v>
      </c>
      <c r="K122" s="4">
        <f t="shared" si="12"/>
        <v>-10831.203051999119</v>
      </c>
      <c r="L122" s="4">
        <f t="shared" si="12"/>
        <v>0</v>
      </c>
      <c r="M122" s="4">
        <f>+SUM(M83:M120)</f>
        <v>-142169.16951420333</v>
      </c>
      <c r="N122" s="4">
        <f t="shared" ref="N122:V122" si="13">+SUM(N83:N120)</f>
        <v>111178.42323043158</v>
      </c>
      <c r="O122" s="4">
        <f t="shared" si="13"/>
        <v>4185.8379194261461</v>
      </c>
      <c r="P122" s="4">
        <f t="shared" si="13"/>
        <v>-3250.4083424212408</v>
      </c>
      <c r="Q122" s="4">
        <f t="shared" si="13"/>
        <v>1.3902893739761026</v>
      </c>
      <c r="R122" s="4">
        <f t="shared" si="13"/>
        <v>0</v>
      </c>
      <c r="S122" s="4">
        <f t="shared" si="13"/>
        <v>-78871.415312014797</v>
      </c>
      <c r="T122" s="4">
        <f t="shared" si="13"/>
        <v>3613.373087074061</v>
      </c>
      <c r="U122" s="4">
        <f t="shared" si="13"/>
        <v>0</v>
      </c>
      <c r="V122" s="4">
        <f t="shared" si="13"/>
        <v>17677.232694259106</v>
      </c>
      <c r="W122" s="4"/>
      <c r="X122" s="8">
        <f>+SUM(X83:X120)</f>
        <v>-78.394686034875036</v>
      </c>
    </row>
    <row r="126" spans="1:24" x14ac:dyDescent="0.2">
      <c r="A126">
        <v>6005</v>
      </c>
      <c r="B126">
        <v>8</v>
      </c>
      <c r="C126">
        <v>0</v>
      </c>
      <c r="D126">
        <v>0</v>
      </c>
      <c r="E126">
        <v>0</v>
      </c>
      <c r="F126">
        <v>20.939844196821301</v>
      </c>
      <c r="G126">
        <v>0</v>
      </c>
      <c r="H126">
        <v>0</v>
      </c>
      <c r="I126">
        <v>0.85170101042173296</v>
      </c>
      <c r="J126">
        <v>19.177500187377401</v>
      </c>
      <c r="K126">
        <v>816.29370210267405</v>
      </c>
      <c r="L126">
        <v>0</v>
      </c>
      <c r="M126">
        <v>3131.8938480793099</v>
      </c>
      <c r="N126">
        <v>0</v>
      </c>
      <c r="O126">
        <v>204.863488178951</v>
      </c>
      <c r="P126">
        <v>925.87697592269103</v>
      </c>
      <c r="Q126">
        <v>224.08866198651</v>
      </c>
      <c r="R126">
        <v>0</v>
      </c>
      <c r="S126">
        <v>1780.2055368925</v>
      </c>
      <c r="T126">
        <v>111.45373811118399</v>
      </c>
      <c r="U126">
        <v>1E-3</v>
      </c>
      <c r="V126">
        <v>287.673332931765</v>
      </c>
    </row>
    <row r="127" spans="1:24" x14ac:dyDescent="0.2">
      <c r="A127">
        <v>6005</v>
      </c>
      <c r="B127">
        <v>9</v>
      </c>
      <c r="C127">
        <v>0</v>
      </c>
      <c r="D127">
        <v>0</v>
      </c>
      <c r="E127">
        <v>0</v>
      </c>
      <c r="F127">
        <v>41.787528071059</v>
      </c>
      <c r="G127">
        <v>0</v>
      </c>
      <c r="H127">
        <v>0</v>
      </c>
      <c r="I127">
        <v>0.868527249393655</v>
      </c>
      <c r="J127">
        <v>17.803062031316099</v>
      </c>
      <c r="K127">
        <v>633.54845850644404</v>
      </c>
      <c r="L127">
        <v>0</v>
      </c>
      <c r="M127">
        <v>2990.40933701213</v>
      </c>
      <c r="N127">
        <v>0</v>
      </c>
      <c r="O127">
        <v>202.085326049515</v>
      </c>
      <c r="P127">
        <v>911.04341800443103</v>
      </c>
      <c r="Q127">
        <v>222.79202776046199</v>
      </c>
      <c r="R127">
        <v>0</v>
      </c>
      <c r="S127">
        <v>2549.6387934734298</v>
      </c>
      <c r="T127">
        <v>121.069619764165</v>
      </c>
      <c r="U127">
        <v>1E-3</v>
      </c>
      <c r="V127">
        <v>355.52792084412499</v>
      </c>
    </row>
    <row r="128" spans="1:24" x14ac:dyDescent="0.2">
      <c r="A128">
        <v>6005</v>
      </c>
      <c r="B128">
        <v>10</v>
      </c>
      <c r="C128">
        <v>0</v>
      </c>
      <c r="D128">
        <v>0</v>
      </c>
      <c r="E128">
        <v>0</v>
      </c>
      <c r="F128">
        <v>62.398220500348998</v>
      </c>
      <c r="G128">
        <v>0</v>
      </c>
      <c r="H128">
        <v>0</v>
      </c>
      <c r="I128">
        <v>0.88477941097730495</v>
      </c>
      <c r="J128">
        <v>16.912008990252001</v>
      </c>
      <c r="K128">
        <v>636.77288334489106</v>
      </c>
      <c r="L128">
        <v>0</v>
      </c>
      <c r="M128">
        <v>3438.1030522236701</v>
      </c>
      <c r="N128">
        <v>0</v>
      </c>
      <c r="O128">
        <v>197.73093742853999</v>
      </c>
      <c r="P128">
        <v>891.50785732439294</v>
      </c>
      <c r="Q128">
        <v>122.320266228051</v>
      </c>
      <c r="R128">
        <v>0</v>
      </c>
      <c r="S128">
        <v>2578.0986137221498</v>
      </c>
      <c r="T128">
        <v>120.19193745192</v>
      </c>
      <c r="U128">
        <v>1E-3</v>
      </c>
      <c r="V128">
        <v>351.67091804722901</v>
      </c>
    </row>
    <row r="129" spans="1:22" x14ac:dyDescent="0.2">
      <c r="A129">
        <v>6005</v>
      </c>
      <c r="B129">
        <v>11</v>
      </c>
      <c r="C129">
        <v>0</v>
      </c>
      <c r="D129">
        <v>6.2294340552751297</v>
      </c>
      <c r="E129" s="1">
        <v>0</v>
      </c>
      <c r="F129">
        <v>111.638015569535</v>
      </c>
      <c r="G129">
        <v>0</v>
      </c>
      <c r="H129">
        <v>0</v>
      </c>
      <c r="I129">
        <v>4.0016657669473101</v>
      </c>
      <c r="J129">
        <v>15.2003129588802</v>
      </c>
      <c r="K129">
        <v>628.05382313038001</v>
      </c>
      <c r="L129">
        <v>0</v>
      </c>
      <c r="M129">
        <v>3585.8324973939498</v>
      </c>
      <c r="N129">
        <v>0</v>
      </c>
      <c r="O129">
        <v>99.469467530587494</v>
      </c>
      <c r="P129">
        <v>865.27997707137001</v>
      </c>
      <c r="Q129">
        <v>116.442838869612</v>
      </c>
      <c r="R129">
        <v>0</v>
      </c>
      <c r="S129">
        <v>2501.1413581260699</v>
      </c>
      <c r="T129">
        <v>138.589326994538</v>
      </c>
      <c r="U129">
        <v>1E-3</v>
      </c>
      <c r="V129">
        <v>496.54423534078097</v>
      </c>
    </row>
    <row r="130" spans="1:22" x14ac:dyDescent="0.2">
      <c r="A130">
        <v>6005</v>
      </c>
      <c r="B130">
        <v>12</v>
      </c>
      <c r="C130">
        <v>0</v>
      </c>
      <c r="D130">
        <v>17.559824588325</v>
      </c>
      <c r="E130">
        <v>0</v>
      </c>
      <c r="F130">
        <v>152.95531417725201</v>
      </c>
      <c r="G130">
        <v>0</v>
      </c>
      <c r="H130">
        <v>0</v>
      </c>
      <c r="I130">
        <v>7.4888427766961803</v>
      </c>
      <c r="J130">
        <v>190.8731700486</v>
      </c>
      <c r="K130">
        <v>619.58974119543905</v>
      </c>
      <c r="L130">
        <v>0</v>
      </c>
      <c r="M130">
        <v>3819.7680209359901</v>
      </c>
      <c r="N130">
        <v>0</v>
      </c>
      <c r="O130">
        <v>125.044779490076</v>
      </c>
      <c r="P130">
        <v>845.25892371900397</v>
      </c>
      <c r="Q130">
        <v>116.442838869613</v>
      </c>
      <c r="R130">
        <v>0</v>
      </c>
      <c r="S130">
        <v>2426.43462358953</v>
      </c>
      <c r="T130">
        <v>156.82257147642201</v>
      </c>
      <c r="U130">
        <v>1E-3</v>
      </c>
      <c r="V130">
        <v>497.79343746308399</v>
      </c>
    </row>
    <row r="131" spans="1:22" x14ac:dyDescent="0.2">
      <c r="A131">
        <v>6005</v>
      </c>
      <c r="B131">
        <v>13</v>
      </c>
      <c r="C131">
        <v>0</v>
      </c>
      <c r="D131">
        <v>33.194948462438703</v>
      </c>
      <c r="E131">
        <v>0</v>
      </c>
      <c r="F131">
        <v>187.231156678492</v>
      </c>
      <c r="G131">
        <v>0</v>
      </c>
      <c r="H131">
        <v>0</v>
      </c>
      <c r="I131">
        <v>11.8380465395201</v>
      </c>
      <c r="J131">
        <v>12.3744733265018</v>
      </c>
      <c r="K131">
        <v>611.15739928000403</v>
      </c>
      <c r="L131">
        <v>0</v>
      </c>
      <c r="M131">
        <v>3787.3708671848099</v>
      </c>
      <c r="N131">
        <v>0</v>
      </c>
      <c r="O131">
        <v>149.78724688808501</v>
      </c>
      <c r="P131">
        <v>825.65954502276702</v>
      </c>
      <c r="Q131">
        <v>116.442838869612</v>
      </c>
      <c r="R131">
        <v>0</v>
      </c>
      <c r="S131">
        <v>2312.7073922807999</v>
      </c>
      <c r="T131">
        <v>174.407034776681</v>
      </c>
      <c r="U131">
        <v>1E-3</v>
      </c>
      <c r="V131">
        <v>580.06341620307603</v>
      </c>
    </row>
    <row r="132" spans="1:22" x14ac:dyDescent="0.2">
      <c r="A132">
        <v>6005</v>
      </c>
      <c r="B132">
        <v>14</v>
      </c>
      <c r="C132">
        <v>0</v>
      </c>
      <c r="D132">
        <v>58.2491417701751</v>
      </c>
      <c r="E132">
        <v>0</v>
      </c>
      <c r="F132">
        <v>239.12805568808699</v>
      </c>
      <c r="G132">
        <v>0</v>
      </c>
      <c r="H132">
        <v>0</v>
      </c>
      <c r="I132">
        <v>17.786633291309599</v>
      </c>
      <c r="J132">
        <v>10.423323092292801</v>
      </c>
      <c r="K132">
        <v>604.35592214118196</v>
      </c>
      <c r="L132">
        <v>0</v>
      </c>
      <c r="M132">
        <v>3485.7088011272999</v>
      </c>
      <c r="N132">
        <v>0</v>
      </c>
      <c r="O132">
        <v>174.962459461294</v>
      </c>
      <c r="P132">
        <v>806.627068462941</v>
      </c>
      <c r="Q132">
        <v>116.442838869612</v>
      </c>
      <c r="R132">
        <v>0</v>
      </c>
      <c r="S132">
        <v>2252.6753473440999</v>
      </c>
      <c r="T132">
        <v>192.71601468091899</v>
      </c>
      <c r="U132">
        <v>1E-3</v>
      </c>
      <c r="V132">
        <v>624.49623328046005</v>
      </c>
    </row>
    <row r="133" spans="1:22" x14ac:dyDescent="0.2">
      <c r="A133">
        <v>6005</v>
      </c>
      <c r="B133">
        <v>15</v>
      </c>
      <c r="C133">
        <v>0</v>
      </c>
      <c r="D133">
        <v>88.326596489705196</v>
      </c>
      <c r="E133">
        <v>0</v>
      </c>
      <c r="F133">
        <v>281.25047829616602</v>
      </c>
      <c r="G133">
        <v>0</v>
      </c>
      <c r="H133">
        <v>0</v>
      </c>
      <c r="I133">
        <v>24.4840599584568</v>
      </c>
      <c r="J133">
        <v>8.2431505269302505</v>
      </c>
      <c r="K133">
        <v>597.52864009159305</v>
      </c>
      <c r="L133">
        <v>0</v>
      </c>
      <c r="M133">
        <v>3271.4050132369898</v>
      </c>
      <c r="N133">
        <v>0</v>
      </c>
      <c r="O133">
        <v>199.81588984358399</v>
      </c>
      <c r="P133">
        <v>787.99600144618</v>
      </c>
      <c r="Q133">
        <v>116.442838869612</v>
      </c>
      <c r="R133">
        <v>0</v>
      </c>
      <c r="S133">
        <v>2192.4155398888902</v>
      </c>
      <c r="T133">
        <v>235.431153746223</v>
      </c>
      <c r="U133">
        <v>1E-3</v>
      </c>
      <c r="V133">
        <v>605.07435938172398</v>
      </c>
    </row>
    <row r="134" spans="1:22" x14ac:dyDescent="0.2">
      <c r="A134">
        <v>6005</v>
      </c>
      <c r="B134">
        <v>16</v>
      </c>
      <c r="C134">
        <v>0</v>
      </c>
      <c r="D134">
        <v>122.362808479713</v>
      </c>
      <c r="E134">
        <v>0</v>
      </c>
      <c r="F134">
        <v>314.49388495224702</v>
      </c>
      <c r="G134">
        <v>0</v>
      </c>
      <c r="H134">
        <v>0</v>
      </c>
      <c r="I134">
        <v>31.968711046167101</v>
      </c>
      <c r="J134">
        <v>7.6284696234662697</v>
      </c>
      <c r="K134">
        <v>590.49132223717697</v>
      </c>
      <c r="L134">
        <v>0</v>
      </c>
      <c r="M134">
        <v>3154.86913736109</v>
      </c>
      <c r="N134">
        <v>0</v>
      </c>
      <c r="O134">
        <v>224.246510513543</v>
      </c>
      <c r="P134">
        <v>769.74066710762304</v>
      </c>
      <c r="Q134">
        <v>116.442838869612</v>
      </c>
      <c r="R134">
        <v>0</v>
      </c>
      <c r="S134">
        <v>2118.4549077552401</v>
      </c>
      <c r="T134">
        <v>277.27722843426398</v>
      </c>
      <c r="U134">
        <v>1E-3</v>
      </c>
      <c r="V134">
        <v>586.05159359120103</v>
      </c>
    </row>
    <row r="135" spans="1:22" x14ac:dyDescent="0.2">
      <c r="A135">
        <v>6005</v>
      </c>
      <c r="B135">
        <v>17</v>
      </c>
      <c r="C135">
        <v>0</v>
      </c>
      <c r="D135">
        <v>159.56329889469501</v>
      </c>
      <c r="E135">
        <v>0</v>
      </c>
      <c r="F135">
        <v>340.12176869658703</v>
      </c>
      <c r="G135">
        <v>0</v>
      </c>
      <c r="H135">
        <v>0</v>
      </c>
      <c r="I135">
        <v>40.291208900002601</v>
      </c>
      <c r="J135">
        <v>6.9643068955528502</v>
      </c>
      <c r="K135">
        <v>583.30704790478399</v>
      </c>
      <c r="L135">
        <v>0</v>
      </c>
      <c r="M135">
        <v>3025.2312433039101</v>
      </c>
      <c r="N135">
        <v>0</v>
      </c>
      <c r="O135">
        <v>248.34451630400099</v>
      </c>
      <c r="P135">
        <v>751.862501498847</v>
      </c>
      <c r="Q135">
        <v>116.442838869612</v>
      </c>
      <c r="R135">
        <v>0</v>
      </c>
      <c r="S135">
        <v>2003.64198231365</v>
      </c>
      <c r="T135">
        <v>270.94420777508401</v>
      </c>
      <c r="U135">
        <v>1E-3</v>
      </c>
      <c r="V135">
        <v>689.57198811673095</v>
      </c>
    </row>
    <row r="136" spans="1:22" x14ac:dyDescent="0.2">
      <c r="A136">
        <v>6005</v>
      </c>
      <c r="B136">
        <v>18</v>
      </c>
      <c r="C136">
        <v>0</v>
      </c>
      <c r="D136">
        <v>199.27532381441</v>
      </c>
      <c r="E136">
        <v>0</v>
      </c>
      <c r="F136">
        <v>359.219991612819</v>
      </c>
      <c r="G136">
        <v>0</v>
      </c>
      <c r="H136">
        <v>0</v>
      </c>
      <c r="I136">
        <v>49.997833340069803</v>
      </c>
      <c r="J136">
        <v>4.38023132703945</v>
      </c>
      <c r="K136">
        <v>575.93457652958</v>
      </c>
      <c r="L136">
        <v>0</v>
      </c>
      <c r="M136">
        <v>2935.1410394088398</v>
      </c>
      <c r="N136">
        <v>0</v>
      </c>
      <c r="O136">
        <v>272.104778334206</v>
      </c>
      <c r="P136">
        <v>734.35043864245802</v>
      </c>
      <c r="Q136">
        <v>116.442838869612</v>
      </c>
      <c r="R136">
        <v>0</v>
      </c>
      <c r="S136">
        <v>1933.06277951063</v>
      </c>
      <c r="T136">
        <v>264.75583353301801</v>
      </c>
      <c r="U136">
        <v>1E-3</v>
      </c>
      <c r="V136">
        <v>791.18511950928303</v>
      </c>
    </row>
    <row r="137" spans="1:22" x14ac:dyDescent="0.2">
      <c r="A137">
        <v>6005</v>
      </c>
      <c r="B137">
        <v>19</v>
      </c>
      <c r="C137">
        <v>0</v>
      </c>
      <c r="D137">
        <v>240.954233547862</v>
      </c>
      <c r="E137">
        <v>0</v>
      </c>
      <c r="F137">
        <v>372.704063002395</v>
      </c>
      <c r="G137">
        <v>0</v>
      </c>
      <c r="H137">
        <v>0</v>
      </c>
      <c r="I137">
        <v>59.600226756958897</v>
      </c>
      <c r="J137">
        <v>4.23209472400168</v>
      </c>
      <c r="K137">
        <v>568.34845166155696</v>
      </c>
      <c r="L137">
        <v>0</v>
      </c>
      <c r="M137">
        <v>2861.91988273674</v>
      </c>
      <c r="N137">
        <v>0</v>
      </c>
      <c r="O137">
        <v>295.52617026810901</v>
      </c>
      <c r="P137">
        <v>717.19477662577401</v>
      </c>
      <c r="Q137">
        <v>116.442838869612</v>
      </c>
      <c r="R137">
        <v>0</v>
      </c>
      <c r="S137">
        <v>1866.1051790251099</v>
      </c>
      <c r="T137">
        <v>279.64544553090701</v>
      </c>
      <c r="U137">
        <v>1E-3</v>
      </c>
      <c r="V137">
        <v>842.80426334494905</v>
      </c>
    </row>
    <row r="138" spans="1:22" x14ac:dyDescent="0.2">
      <c r="A138">
        <v>6005</v>
      </c>
      <c r="B138">
        <v>20</v>
      </c>
      <c r="C138">
        <v>0</v>
      </c>
      <c r="D138">
        <v>284.14275794636302</v>
      </c>
      <c r="E138">
        <v>0</v>
      </c>
      <c r="F138">
        <v>381.34949092801401</v>
      </c>
      <c r="G138">
        <v>0</v>
      </c>
      <c r="H138">
        <v>0</v>
      </c>
      <c r="I138">
        <v>70.653816832621402</v>
      </c>
      <c r="J138">
        <v>4.13543354585582</v>
      </c>
      <c r="K138">
        <v>560.54648584187805</v>
      </c>
      <c r="L138">
        <v>0</v>
      </c>
      <c r="M138">
        <v>2810.4260246394301</v>
      </c>
      <c r="N138">
        <v>0</v>
      </c>
      <c r="O138">
        <v>318.63520682461598</v>
      </c>
      <c r="P138">
        <v>699.56956740268004</v>
      </c>
      <c r="Q138">
        <v>116.442838869612</v>
      </c>
      <c r="R138">
        <v>0</v>
      </c>
      <c r="S138">
        <v>1797.24249623991</v>
      </c>
      <c r="T138">
        <v>297.160491701034</v>
      </c>
      <c r="U138">
        <v>1E-3</v>
      </c>
      <c r="V138">
        <v>895.35034630751898</v>
      </c>
    </row>
    <row r="139" spans="1:22" x14ac:dyDescent="0.2">
      <c r="A139">
        <v>6005</v>
      </c>
      <c r="B139">
        <v>21</v>
      </c>
      <c r="C139">
        <v>0</v>
      </c>
      <c r="D139">
        <v>328.456266422954</v>
      </c>
      <c r="E139">
        <v>0</v>
      </c>
      <c r="F139">
        <v>385.81824596572</v>
      </c>
      <c r="G139">
        <v>0</v>
      </c>
      <c r="H139">
        <v>0</v>
      </c>
      <c r="I139">
        <v>82.653369823435895</v>
      </c>
      <c r="J139">
        <v>3.5400321525097702</v>
      </c>
      <c r="K139">
        <v>552.49227872922302</v>
      </c>
      <c r="L139">
        <v>0</v>
      </c>
      <c r="M139">
        <v>2720.5000378578202</v>
      </c>
      <c r="N139">
        <v>0</v>
      </c>
      <c r="O139">
        <v>341.399120787323</v>
      </c>
      <c r="P139">
        <v>683.11925024180096</v>
      </c>
      <c r="Q139">
        <v>116.442838869612</v>
      </c>
      <c r="R139">
        <v>0</v>
      </c>
      <c r="S139">
        <v>1710.68383905266</v>
      </c>
      <c r="T139">
        <v>312.25010305542997</v>
      </c>
      <c r="U139">
        <v>1E-3</v>
      </c>
      <c r="V139">
        <v>951.23830507139996</v>
      </c>
    </row>
    <row r="140" spans="1:22" x14ac:dyDescent="0.2">
      <c r="A140">
        <v>6005</v>
      </c>
      <c r="B140">
        <v>22</v>
      </c>
      <c r="C140">
        <v>0</v>
      </c>
      <c r="D140">
        <v>373.56481015593403</v>
      </c>
      <c r="E140">
        <v>0</v>
      </c>
      <c r="F140">
        <v>386.672347354387</v>
      </c>
      <c r="G140">
        <v>0</v>
      </c>
      <c r="H140">
        <v>0</v>
      </c>
      <c r="I140">
        <v>95.647244031075005</v>
      </c>
      <c r="J140">
        <v>3.4591777053213901</v>
      </c>
      <c r="K140">
        <v>544.21001926834504</v>
      </c>
      <c r="L140">
        <v>0</v>
      </c>
      <c r="M140">
        <v>2644.14489567079</v>
      </c>
      <c r="N140">
        <v>0</v>
      </c>
      <c r="O140">
        <v>363.88878775811099</v>
      </c>
      <c r="P140">
        <v>655.53715447278398</v>
      </c>
      <c r="Q140">
        <v>116.442838869612</v>
      </c>
      <c r="R140">
        <v>0</v>
      </c>
      <c r="S140">
        <v>1637.58192869046</v>
      </c>
      <c r="T140">
        <v>328.12513403941603</v>
      </c>
      <c r="U140">
        <v>1E-3</v>
      </c>
      <c r="V140">
        <v>1014.43920086022</v>
      </c>
    </row>
    <row r="141" spans="1:22" x14ac:dyDescent="0.2">
      <c r="A141">
        <v>6005</v>
      </c>
      <c r="B141">
        <v>23</v>
      </c>
      <c r="C141">
        <v>0</v>
      </c>
      <c r="D141">
        <v>419.18622414969298</v>
      </c>
      <c r="E141">
        <v>0</v>
      </c>
      <c r="F141">
        <v>386.672347354387</v>
      </c>
      <c r="G141">
        <v>0</v>
      </c>
      <c r="H141">
        <v>0</v>
      </c>
      <c r="I141">
        <v>107.986875158001</v>
      </c>
      <c r="J141">
        <v>2.8460393493501299</v>
      </c>
      <c r="K141">
        <v>439.178864691819</v>
      </c>
      <c r="L141">
        <v>0</v>
      </c>
      <c r="M141">
        <v>2565.3959693741999</v>
      </c>
      <c r="N141">
        <v>0</v>
      </c>
      <c r="O141">
        <v>386.14120959497302</v>
      </c>
      <c r="P141">
        <v>640.00503071222897</v>
      </c>
      <c r="Q141">
        <v>116.442838869612</v>
      </c>
      <c r="R141">
        <v>0</v>
      </c>
      <c r="S141">
        <v>1562.44196969679</v>
      </c>
      <c r="T141">
        <v>344.16996813753002</v>
      </c>
      <c r="U141">
        <v>1E-3</v>
      </c>
      <c r="V141">
        <v>1097.0066437242201</v>
      </c>
    </row>
    <row r="142" spans="1:22" x14ac:dyDescent="0.2">
      <c r="A142">
        <v>6005</v>
      </c>
      <c r="B142">
        <v>24</v>
      </c>
      <c r="C142">
        <v>0</v>
      </c>
      <c r="D142">
        <v>465.05316732637698</v>
      </c>
      <c r="E142">
        <v>0</v>
      </c>
      <c r="F142">
        <v>386.672347354387</v>
      </c>
      <c r="G142">
        <v>0</v>
      </c>
      <c r="H142">
        <v>0</v>
      </c>
      <c r="I142">
        <v>121.062219073181</v>
      </c>
      <c r="J142">
        <v>2.1344643991660699</v>
      </c>
      <c r="K142">
        <v>430.40448842998399</v>
      </c>
      <c r="L142">
        <v>0</v>
      </c>
      <c r="M142">
        <v>2427.9275774449702</v>
      </c>
      <c r="N142">
        <v>0</v>
      </c>
      <c r="O142">
        <v>408.13054698723897</v>
      </c>
      <c r="P142">
        <v>624.78061984251303</v>
      </c>
      <c r="Q142">
        <v>116.442838869612</v>
      </c>
      <c r="R142">
        <v>0</v>
      </c>
      <c r="S142">
        <v>1484.9964767118299</v>
      </c>
      <c r="T142">
        <v>383.31395209720802</v>
      </c>
      <c r="U142">
        <v>1E-3</v>
      </c>
      <c r="V142">
        <v>1147.4233845295601</v>
      </c>
    </row>
    <row r="143" spans="1:22" x14ac:dyDescent="0.2">
      <c r="A143">
        <v>6005</v>
      </c>
      <c r="B143">
        <v>25</v>
      </c>
      <c r="C143">
        <v>0</v>
      </c>
      <c r="D143">
        <v>512.27039600644798</v>
      </c>
      <c r="E143" s="1">
        <v>0</v>
      </c>
      <c r="F143">
        <v>386.672347354387</v>
      </c>
      <c r="G143">
        <v>0</v>
      </c>
      <c r="H143">
        <v>0</v>
      </c>
      <c r="I143">
        <v>136.441401264143</v>
      </c>
      <c r="J143">
        <v>2.2632098267453098</v>
      </c>
      <c r="K143">
        <v>229.791645151105</v>
      </c>
      <c r="L143">
        <v>0</v>
      </c>
      <c r="M143">
        <v>2259.4719687636698</v>
      </c>
      <c r="N143">
        <v>0</v>
      </c>
      <c r="O143">
        <v>429.80910967369698</v>
      </c>
      <c r="P143">
        <v>609.85305184127299</v>
      </c>
      <c r="Q143">
        <v>116.442838869612</v>
      </c>
      <c r="R143">
        <v>0</v>
      </c>
      <c r="S143">
        <v>1404.97702698485</v>
      </c>
      <c r="T143">
        <v>381.20519111762201</v>
      </c>
      <c r="U143">
        <v>1E-3</v>
      </c>
      <c r="V143">
        <v>1513.88435148501</v>
      </c>
    </row>
    <row r="144" spans="1:22" x14ac:dyDescent="0.2">
      <c r="A144">
        <v>6005</v>
      </c>
      <c r="B144">
        <v>26</v>
      </c>
      <c r="C144">
        <v>0</v>
      </c>
      <c r="D144">
        <v>558.59140882496899</v>
      </c>
      <c r="E144">
        <v>0</v>
      </c>
      <c r="F144">
        <v>386.672347354387</v>
      </c>
      <c r="G144">
        <v>0</v>
      </c>
      <c r="H144">
        <v>0</v>
      </c>
      <c r="I144">
        <v>150.18461181692101</v>
      </c>
      <c r="J144">
        <v>2.2333927654269399</v>
      </c>
      <c r="K144">
        <v>220.34277042800201</v>
      </c>
      <c r="L144">
        <v>0</v>
      </c>
      <c r="M144">
        <v>2141.7481181394</v>
      </c>
      <c r="N144">
        <v>0</v>
      </c>
      <c r="O144">
        <v>478.24719001325701</v>
      </c>
      <c r="P144">
        <v>594.74837489849597</v>
      </c>
      <c r="Q144">
        <v>116.442838869612</v>
      </c>
      <c r="R144">
        <v>0</v>
      </c>
      <c r="S144">
        <v>1289.75778941472</v>
      </c>
      <c r="T144">
        <v>391.44794276694398</v>
      </c>
      <c r="U144">
        <v>1E-3</v>
      </c>
      <c r="V144">
        <v>1578.21741899003</v>
      </c>
    </row>
    <row r="145" spans="1:22" x14ac:dyDescent="0.2">
      <c r="A145">
        <v>6005</v>
      </c>
      <c r="B145">
        <v>27</v>
      </c>
      <c r="C145">
        <v>0</v>
      </c>
      <c r="D145">
        <v>604.39944178951703</v>
      </c>
      <c r="E145">
        <v>0</v>
      </c>
      <c r="F145">
        <v>386.672347354387</v>
      </c>
      <c r="G145">
        <v>0</v>
      </c>
      <c r="H145">
        <v>0</v>
      </c>
      <c r="I145">
        <v>167.413697289716</v>
      </c>
      <c r="J145">
        <v>1.8379516814330601</v>
      </c>
      <c r="K145">
        <v>210.52393679023999</v>
      </c>
      <c r="L145">
        <v>0</v>
      </c>
      <c r="M145">
        <v>2011.8364196386999</v>
      </c>
      <c r="N145">
        <v>0</v>
      </c>
      <c r="O145">
        <v>499.900886200093</v>
      </c>
      <c r="P145">
        <v>580.38332624733005</v>
      </c>
      <c r="Q145">
        <v>116.442838869612</v>
      </c>
      <c r="R145">
        <v>0</v>
      </c>
      <c r="S145">
        <v>1203.09357660665</v>
      </c>
      <c r="T145">
        <v>409.17409836206002</v>
      </c>
      <c r="U145">
        <v>1E-3</v>
      </c>
      <c r="V145">
        <v>1564.9853015968899</v>
      </c>
    </row>
    <row r="146" spans="1:22" x14ac:dyDescent="0.2">
      <c r="A146">
        <v>6005</v>
      </c>
      <c r="B146">
        <v>28</v>
      </c>
      <c r="C146">
        <v>0</v>
      </c>
      <c r="D146">
        <v>649.41027173615203</v>
      </c>
      <c r="E146" s="1">
        <v>0</v>
      </c>
      <c r="F146">
        <v>386.672347354387</v>
      </c>
      <c r="G146">
        <v>0</v>
      </c>
      <c r="H146">
        <v>0</v>
      </c>
      <c r="I146">
        <v>182.45926615776199</v>
      </c>
      <c r="J146">
        <v>1.8142123718710099</v>
      </c>
      <c r="K146">
        <v>200.33120987761299</v>
      </c>
      <c r="L146">
        <v>0</v>
      </c>
      <c r="M146">
        <v>1879.35557230617</v>
      </c>
      <c r="N146">
        <v>0</v>
      </c>
      <c r="O146">
        <v>505.2797907515</v>
      </c>
      <c r="P146">
        <v>566.28325744181598</v>
      </c>
      <c r="Q146">
        <v>117.336231105331</v>
      </c>
      <c r="R146">
        <v>0</v>
      </c>
      <c r="S146">
        <v>1113.1292603916199</v>
      </c>
      <c r="T146">
        <v>434.09872435421698</v>
      </c>
      <c r="U146">
        <v>1E-3</v>
      </c>
      <c r="V146">
        <v>1529.2409876675999</v>
      </c>
    </row>
    <row r="147" spans="1:22" x14ac:dyDescent="0.2">
      <c r="A147">
        <v>6005</v>
      </c>
      <c r="B147">
        <v>29</v>
      </c>
      <c r="C147">
        <v>0</v>
      </c>
      <c r="D147">
        <v>693.55435080299605</v>
      </c>
      <c r="E147">
        <v>0</v>
      </c>
      <c r="F147">
        <v>386.672347354387</v>
      </c>
      <c r="G147">
        <v>0</v>
      </c>
      <c r="H147">
        <v>0</v>
      </c>
      <c r="I147">
        <v>199.15929178955599</v>
      </c>
      <c r="J147">
        <v>1.7910152683349601</v>
      </c>
      <c r="K147">
        <v>145.937158130396</v>
      </c>
      <c r="L147">
        <v>0</v>
      </c>
      <c r="M147">
        <v>1739.35205685136</v>
      </c>
      <c r="N147">
        <v>0</v>
      </c>
      <c r="O147">
        <v>581.63923462407899</v>
      </c>
      <c r="P147">
        <v>552.33388752139194</v>
      </c>
      <c r="Q147">
        <v>117.336231105331</v>
      </c>
      <c r="R147">
        <v>0</v>
      </c>
      <c r="S147">
        <v>1017.68346248214</v>
      </c>
      <c r="T147">
        <v>443.25857964258603</v>
      </c>
      <c r="U147">
        <v>1E-3</v>
      </c>
      <c r="V147">
        <v>1498.0912185672</v>
      </c>
    </row>
    <row r="148" spans="1:22" x14ac:dyDescent="0.2">
      <c r="A148">
        <v>6005</v>
      </c>
      <c r="B148">
        <v>30</v>
      </c>
      <c r="C148">
        <v>0</v>
      </c>
      <c r="D148">
        <v>736.46840625542904</v>
      </c>
      <c r="E148">
        <v>0</v>
      </c>
      <c r="F148">
        <v>386.672347354387</v>
      </c>
      <c r="G148">
        <v>0</v>
      </c>
      <c r="H148">
        <v>0</v>
      </c>
      <c r="I148">
        <v>216.529031235817</v>
      </c>
      <c r="J148">
        <v>0</v>
      </c>
      <c r="K148">
        <v>135.06979773614</v>
      </c>
      <c r="L148">
        <v>0</v>
      </c>
      <c r="M148">
        <v>1563.21716707122</v>
      </c>
      <c r="N148">
        <v>0</v>
      </c>
      <c r="O148">
        <v>635.32097337522396</v>
      </c>
      <c r="P148">
        <v>537.66946276166095</v>
      </c>
      <c r="Q148">
        <v>110.926502495175</v>
      </c>
      <c r="R148">
        <v>0</v>
      </c>
      <c r="S148">
        <v>913.93189778499902</v>
      </c>
      <c r="T148">
        <v>457.28551964633402</v>
      </c>
      <c r="U148">
        <v>1E-3</v>
      </c>
      <c r="V148">
        <v>1607.3384054344599</v>
      </c>
    </row>
    <row r="149" spans="1:22" x14ac:dyDescent="0.2">
      <c r="A149">
        <v>6005</v>
      </c>
      <c r="B149">
        <v>31</v>
      </c>
      <c r="C149">
        <v>0</v>
      </c>
      <c r="D149">
        <v>784.49667298749705</v>
      </c>
      <c r="E149">
        <v>0</v>
      </c>
      <c r="F149">
        <v>386.672347354387</v>
      </c>
      <c r="G149">
        <v>0</v>
      </c>
      <c r="H149">
        <v>0</v>
      </c>
      <c r="I149">
        <v>234.480399589184</v>
      </c>
      <c r="J149">
        <v>0</v>
      </c>
      <c r="K149">
        <v>123.878085478174</v>
      </c>
      <c r="L149">
        <v>0</v>
      </c>
      <c r="M149">
        <v>1408.0192861768701</v>
      </c>
      <c r="N149">
        <v>0</v>
      </c>
      <c r="O149">
        <v>659.17854755265398</v>
      </c>
      <c r="P149">
        <v>524.36116332192398</v>
      </c>
      <c r="Q149">
        <v>117.86097314171001</v>
      </c>
      <c r="R149">
        <v>0</v>
      </c>
      <c r="S149">
        <v>808.05181522250996</v>
      </c>
      <c r="T149">
        <v>474.29532593906998</v>
      </c>
      <c r="U149">
        <v>1E-3</v>
      </c>
      <c r="V149">
        <v>1556.77469137597</v>
      </c>
    </row>
    <row r="150" spans="1:22" x14ac:dyDescent="0.2">
      <c r="A150">
        <v>6005</v>
      </c>
      <c r="B150">
        <v>32</v>
      </c>
      <c r="C150">
        <v>0</v>
      </c>
      <c r="D150">
        <v>851.16401575002897</v>
      </c>
      <c r="E150">
        <v>0</v>
      </c>
      <c r="F150">
        <v>386.672347354387</v>
      </c>
      <c r="G150">
        <v>0</v>
      </c>
      <c r="H150">
        <v>0</v>
      </c>
      <c r="I150">
        <v>253.40629265971799</v>
      </c>
      <c r="J150">
        <v>0</v>
      </c>
      <c r="K150">
        <v>112.390240092016</v>
      </c>
      <c r="L150">
        <v>0</v>
      </c>
      <c r="M150">
        <v>1245.5548307599199</v>
      </c>
      <c r="N150">
        <v>0</v>
      </c>
      <c r="O150">
        <v>679.47315215013896</v>
      </c>
      <c r="P150">
        <v>511.17272737587098</v>
      </c>
      <c r="Q150">
        <v>119.644175367893</v>
      </c>
      <c r="R150">
        <v>0</v>
      </c>
      <c r="S150">
        <v>693.19388511183604</v>
      </c>
      <c r="T150">
        <v>496.48147196209499</v>
      </c>
      <c r="U150">
        <v>1E-3</v>
      </c>
      <c r="V150">
        <v>1533.2577462567799</v>
      </c>
    </row>
    <row r="151" spans="1:22" x14ac:dyDescent="0.2">
      <c r="A151">
        <v>6005</v>
      </c>
      <c r="B151">
        <v>33</v>
      </c>
      <c r="C151">
        <v>0</v>
      </c>
      <c r="D151">
        <v>898.04590647720897</v>
      </c>
      <c r="E151">
        <v>0</v>
      </c>
      <c r="F151">
        <v>386.672347354387</v>
      </c>
      <c r="G151">
        <v>0</v>
      </c>
      <c r="H151">
        <v>0</v>
      </c>
      <c r="I151">
        <v>273.65483579989302</v>
      </c>
      <c r="J151">
        <v>0</v>
      </c>
      <c r="K151">
        <v>100.639365210156</v>
      </c>
      <c r="L151">
        <v>0</v>
      </c>
      <c r="M151">
        <v>1055.03692081591</v>
      </c>
      <c r="N151">
        <v>0</v>
      </c>
      <c r="O151">
        <v>703.90964861581699</v>
      </c>
      <c r="P151">
        <v>498.28710971830901</v>
      </c>
      <c r="Q151">
        <v>119.644175367893</v>
      </c>
      <c r="R151">
        <v>0</v>
      </c>
      <c r="S151">
        <v>589.47684915697903</v>
      </c>
      <c r="T151">
        <v>518.807464291158</v>
      </c>
      <c r="U151">
        <v>1E-3</v>
      </c>
      <c r="V151">
        <v>1588.8358111423399</v>
      </c>
    </row>
    <row r="152" spans="1:22" x14ac:dyDescent="0.2">
      <c r="A152">
        <v>6005</v>
      </c>
      <c r="B152">
        <v>34</v>
      </c>
      <c r="C152">
        <v>0</v>
      </c>
      <c r="D152">
        <v>900.94200657370504</v>
      </c>
      <c r="E152" s="1">
        <v>0</v>
      </c>
      <c r="F152">
        <v>386.672347354387</v>
      </c>
      <c r="G152">
        <v>0</v>
      </c>
      <c r="H152">
        <v>0</v>
      </c>
      <c r="I152">
        <v>293.609983754621</v>
      </c>
      <c r="J152">
        <v>0</v>
      </c>
      <c r="K152">
        <v>88.656775844972202</v>
      </c>
      <c r="L152">
        <v>0</v>
      </c>
      <c r="M152">
        <v>879.20361436728297</v>
      </c>
      <c r="N152">
        <v>0</v>
      </c>
      <c r="O152">
        <v>741.39190632541499</v>
      </c>
      <c r="P152">
        <v>485.704647410897</v>
      </c>
      <c r="Q152">
        <v>119.644175367893</v>
      </c>
      <c r="R152">
        <v>0</v>
      </c>
      <c r="S152">
        <v>471.76973650960701</v>
      </c>
      <c r="T152">
        <v>540.54445356215501</v>
      </c>
      <c r="U152">
        <v>1E-3</v>
      </c>
      <c r="V152">
        <v>1617.4741066356901</v>
      </c>
    </row>
    <row r="153" spans="1:22" x14ac:dyDescent="0.2">
      <c r="A153">
        <v>6005</v>
      </c>
      <c r="B153">
        <v>35</v>
      </c>
      <c r="C153">
        <v>0</v>
      </c>
      <c r="D153">
        <v>968.80617842370998</v>
      </c>
      <c r="E153">
        <v>0</v>
      </c>
      <c r="F153">
        <v>386.672347354387</v>
      </c>
      <c r="G153">
        <v>0</v>
      </c>
      <c r="H153">
        <v>0</v>
      </c>
      <c r="I153">
        <v>313.060278791207</v>
      </c>
      <c r="J153">
        <v>0</v>
      </c>
      <c r="K153">
        <v>76.466924215375499</v>
      </c>
      <c r="L153">
        <v>0</v>
      </c>
      <c r="M153">
        <v>669.426510701344</v>
      </c>
      <c r="N153">
        <v>0</v>
      </c>
      <c r="O153">
        <v>775.61789041592101</v>
      </c>
      <c r="P153">
        <v>473.35498844491798</v>
      </c>
      <c r="Q153">
        <v>119.880411563477</v>
      </c>
      <c r="R153">
        <v>0</v>
      </c>
      <c r="S153">
        <v>364.17814929060302</v>
      </c>
      <c r="T153">
        <v>558.43900550805199</v>
      </c>
      <c r="U153">
        <v>1E-3</v>
      </c>
      <c r="V153">
        <v>1653.2937620053899</v>
      </c>
    </row>
    <row r="154" spans="1:22" x14ac:dyDescent="0.2">
      <c r="A154">
        <v>6005</v>
      </c>
      <c r="B154">
        <v>36</v>
      </c>
      <c r="C154">
        <v>0</v>
      </c>
      <c r="D154">
        <v>1013.33815898812</v>
      </c>
      <c r="E154">
        <v>0</v>
      </c>
      <c r="F154">
        <v>386.672347354387</v>
      </c>
      <c r="G154">
        <v>0</v>
      </c>
      <c r="H154">
        <v>0</v>
      </c>
      <c r="I154">
        <v>333.58482938395298</v>
      </c>
      <c r="J154">
        <v>0</v>
      </c>
      <c r="K154">
        <v>64.120997920836103</v>
      </c>
      <c r="L154">
        <v>0</v>
      </c>
      <c r="M154">
        <v>481.90553326904302</v>
      </c>
      <c r="N154">
        <v>0</v>
      </c>
      <c r="O154">
        <v>820.97483188693002</v>
      </c>
      <c r="P154">
        <v>471.94903923480501</v>
      </c>
      <c r="Q154">
        <v>121.622792993186</v>
      </c>
      <c r="R154">
        <v>0</v>
      </c>
      <c r="S154">
        <v>255.208996418125</v>
      </c>
      <c r="T154">
        <v>590.09184462141695</v>
      </c>
      <c r="U154">
        <v>1E-3</v>
      </c>
      <c r="V154">
        <v>1740.1677387290499</v>
      </c>
    </row>
    <row r="155" spans="1:22" x14ac:dyDescent="0.2">
      <c r="A155">
        <v>6005</v>
      </c>
      <c r="B155">
        <v>37</v>
      </c>
      <c r="C155">
        <v>0</v>
      </c>
      <c r="D155">
        <v>1034.0460462910501</v>
      </c>
      <c r="E155">
        <v>0</v>
      </c>
      <c r="F155">
        <v>386.672347354387</v>
      </c>
      <c r="G155">
        <v>0</v>
      </c>
      <c r="H155">
        <v>0</v>
      </c>
      <c r="I155">
        <v>355.97580296551803</v>
      </c>
      <c r="J155">
        <v>0</v>
      </c>
      <c r="K155">
        <v>51.572716930258899</v>
      </c>
      <c r="L155">
        <v>0</v>
      </c>
      <c r="M155">
        <v>288.11522680291</v>
      </c>
      <c r="N155">
        <v>0</v>
      </c>
      <c r="O155">
        <v>855.36525015325799</v>
      </c>
      <c r="P155">
        <v>470.51973514434502</v>
      </c>
      <c r="Q155">
        <v>126.981549781905</v>
      </c>
      <c r="R155">
        <v>0</v>
      </c>
      <c r="S155">
        <v>136.62108092339</v>
      </c>
      <c r="T155">
        <v>622.96273022389096</v>
      </c>
      <c r="U155">
        <v>1E-3</v>
      </c>
      <c r="V155">
        <v>1892.0355318065201</v>
      </c>
    </row>
    <row r="156" spans="1:22" x14ac:dyDescent="0.2">
      <c r="A156">
        <v>6005</v>
      </c>
      <c r="B156">
        <v>38</v>
      </c>
      <c r="C156">
        <v>0</v>
      </c>
      <c r="D156">
        <v>1034.0460462910501</v>
      </c>
      <c r="E156">
        <v>0</v>
      </c>
      <c r="F156">
        <v>386.672347354387</v>
      </c>
      <c r="G156">
        <v>0</v>
      </c>
      <c r="H156">
        <v>0</v>
      </c>
      <c r="I156">
        <v>377.64420109438697</v>
      </c>
      <c r="J156">
        <v>0</v>
      </c>
      <c r="K156">
        <v>38.866551106276198</v>
      </c>
      <c r="L156">
        <v>0</v>
      </c>
      <c r="M156">
        <v>78.876158070183095</v>
      </c>
      <c r="N156">
        <v>0</v>
      </c>
      <c r="O156">
        <v>888.77983728773097</v>
      </c>
      <c r="P156">
        <v>469.07119388464702</v>
      </c>
      <c r="Q156">
        <v>126.981549781905</v>
      </c>
      <c r="R156">
        <v>0</v>
      </c>
      <c r="S156">
        <v>24.4723370329441</v>
      </c>
      <c r="T156">
        <v>669.68814719712202</v>
      </c>
      <c r="U156">
        <v>1E-3</v>
      </c>
      <c r="V156">
        <v>2280.7262630853802</v>
      </c>
    </row>
    <row r="157" spans="1:22" x14ac:dyDescent="0.2">
      <c r="A157">
        <v>6005</v>
      </c>
      <c r="B157">
        <v>39</v>
      </c>
      <c r="C157">
        <v>0</v>
      </c>
      <c r="D157">
        <v>1064.7744947050701</v>
      </c>
      <c r="E157" s="1">
        <v>0</v>
      </c>
      <c r="F157">
        <v>386.672347354387</v>
      </c>
      <c r="G157">
        <v>0</v>
      </c>
      <c r="H157">
        <v>0</v>
      </c>
      <c r="I157">
        <v>399.82547990056099</v>
      </c>
      <c r="J157">
        <v>0</v>
      </c>
      <c r="K157">
        <v>38.866551106276198</v>
      </c>
      <c r="L157">
        <v>0</v>
      </c>
      <c r="M157">
        <v>78.876158070183095</v>
      </c>
      <c r="N157">
        <v>0</v>
      </c>
      <c r="O157">
        <v>920.84371411215795</v>
      </c>
      <c r="P157">
        <v>469.07119388464702</v>
      </c>
      <c r="Q157">
        <v>126.981549781905</v>
      </c>
      <c r="R157">
        <v>0</v>
      </c>
      <c r="S157">
        <v>24.4723370329441</v>
      </c>
      <c r="T157">
        <v>726.39577903234203</v>
      </c>
      <c r="U157">
        <v>1E-3</v>
      </c>
      <c r="V157">
        <v>2229.3240582128501</v>
      </c>
    </row>
    <row r="158" spans="1:22" x14ac:dyDescent="0.2">
      <c r="A158">
        <v>6005</v>
      </c>
      <c r="B158">
        <v>40</v>
      </c>
      <c r="C158">
        <v>0</v>
      </c>
      <c r="D158">
        <v>1092.23552737415</v>
      </c>
      <c r="E158">
        <v>0</v>
      </c>
      <c r="F158">
        <v>386.672347354387</v>
      </c>
      <c r="G158">
        <v>0</v>
      </c>
      <c r="H158">
        <v>0</v>
      </c>
      <c r="I158">
        <v>422.47973101082198</v>
      </c>
      <c r="J158">
        <v>0</v>
      </c>
      <c r="K158">
        <v>38.866551106276198</v>
      </c>
      <c r="L158">
        <v>0</v>
      </c>
      <c r="M158">
        <v>78.699401332973494</v>
      </c>
      <c r="N158">
        <v>0</v>
      </c>
      <c r="O158">
        <v>951.63387276806804</v>
      </c>
      <c r="P158">
        <v>469.07119388464702</v>
      </c>
      <c r="Q158">
        <v>126.981549781905</v>
      </c>
      <c r="R158">
        <v>0</v>
      </c>
      <c r="S158">
        <v>17.129167288767398</v>
      </c>
      <c r="T158">
        <v>782.50659909165495</v>
      </c>
      <c r="U158">
        <v>1E-3</v>
      </c>
      <c r="V158">
        <v>2175.8910553414098</v>
      </c>
    </row>
    <row r="159" spans="1:22" x14ac:dyDescent="0.2">
      <c r="A159">
        <v>6005</v>
      </c>
      <c r="B159">
        <v>41</v>
      </c>
      <c r="C159">
        <v>0</v>
      </c>
      <c r="D159">
        <v>1116.6516353672</v>
      </c>
      <c r="E159">
        <v>0</v>
      </c>
      <c r="F159">
        <v>386.672347354387</v>
      </c>
      <c r="G159">
        <v>0</v>
      </c>
      <c r="H159">
        <v>0</v>
      </c>
      <c r="I159">
        <v>445.60400366328503</v>
      </c>
      <c r="J159">
        <v>0</v>
      </c>
      <c r="K159">
        <v>38.866551106276198</v>
      </c>
      <c r="L159">
        <v>0</v>
      </c>
      <c r="M159">
        <v>78.699401332973494</v>
      </c>
      <c r="N159">
        <v>0</v>
      </c>
      <c r="O159">
        <v>981.02165699514205</v>
      </c>
      <c r="P159">
        <v>469.07119388464702</v>
      </c>
      <c r="Q159">
        <v>126.981549781905</v>
      </c>
      <c r="R159">
        <v>0</v>
      </c>
      <c r="S159">
        <v>17.129167288767398</v>
      </c>
      <c r="T159">
        <v>837.93192020582501</v>
      </c>
      <c r="U159">
        <v>1E-3</v>
      </c>
      <c r="V159">
        <v>2120.6503885416</v>
      </c>
    </row>
    <row r="160" spans="1:22" x14ac:dyDescent="0.2">
      <c r="A160">
        <v>6005</v>
      </c>
      <c r="B160">
        <v>42</v>
      </c>
      <c r="C160">
        <v>0</v>
      </c>
      <c r="D160">
        <v>1137.5522436369899</v>
      </c>
      <c r="E160" s="1">
        <v>0</v>
      </c>
      <c r="F160">
        <v>386.672347354387</v>
      </c>
      <c r="G160">
        <v>0</v>
      </c>
      <c r="H160">
        <v>0</v>
      </c>
      <c r="I160">
        <v>469.22039621515597</v>
      </c>
      <c r="J160">
        <v>0</v>
      </c>
      <c r="K160">
        <v>38.866551106276198</v>
      </c>
      <c r="L160">
        <v>0</v>
      </c>
      <c r="M160">
        <v>78.699401332973494</v>
      </c>
      <c r="N160">
        <v>0</v>
      </c>
      <c r="O160">
        <v>1008.9627712615101</v>
      </c>
      <c r="P160">
        <v>469.07119388464702</v>
      </c>
      <c r="Q160">
        <v>126.981549781905</v>
      </c>
      <c r="R160">
        <v>0</v>
      </c>
      <c r="S160">
        <v>17.129167288767398</v>
      </c>
      <c r="T160">
        <v>891.98841468132196</v>
      </c>
      <c r="U160">
        <v>1E-3</v>
      </c>
      <c r="V160">
        <v>2063.9953295379701</v>
      </c>
    </row>
    <row r="161" spans="1:24" x14ac:dyDescent="0.2">
      <c r="A161">
        <v>6005</v>
      </c>
      <c r="B161">
        <v>43</v>
      </c>
      <c r="C161">
        <v>0</v>
      </c>
      <c r="D161">
        <v>1154.3854392506701</v>
      </c>
      <c r="E161">
        <v>0</v>
      </c>
      <c r="F161">
        <v>386.672347354387</v>
      </c>
      <c r="G161">
        <v>0</v>
      </c>
      <c r="H161">
        <v>0</v>
      </c>
      <c r="I161">
        <v>493.33159874073402</v>
      </c>
      <c r="J161">
        <v>0</v>
      </c>
      <c r="K161">
        <v>38.866551106276198</v>
      </c>
      <c r="L161">
        <v>0</v>
      </c>
      <c r="M161">
        <v>78.699401332973494</v>
      </c>
      <c r="N161">
        <v>0</v>
      </c>
      <c r="O161">
        <v>1035.3342535699801</v>
      </c>
      <c r="P161">
        <v>469.07119388464702</v>
      </c>
      <c r="Q161">
        <v>126.981549781905</v>
      </c>
      <c r="R161">
        <v>0</v>
      </c>
      <c r="S161">
        <v>17.129167288767398</v>
      </c>
      <c r="T161">
        <v>944.46512342754397</v>
      </c>
      <c r="U161">
        <v>1E-3</v>
      </c>
      <c r="V161">
        <v>2006.10306762143</v>
      </c>
    </row>
    <row r="162" spans="1:24" x14ac:dyDescent="0.2">
      <c r="A162">
        <v>6005</v>
      </c>
      <c r="B162">
        <v>44</v>
      </c>
      <c r="C162">
        <v>0</v>
      </c>
      <c r="D162">
        <v>1167.10824597085</v>
      </c>
      <c r="E162" s="1">
        <v>0</v>
      </c>
      <c r="F162">
        <v>386.672347354387</v>
      </c>
      <c r="G162">
        <v>0</v>
      </c>
      <c r="H162">
        <v>0</v>
      </c>
      <c r="I162">
        <v>517.96777003217198</v>
      </c>
      <c r="J162">
        <v>0</v>
      </c>
      <c r="K162">
        <v>38.866551106276198</v>
      </c>
      <c r="L162">
        <v>0</v>
      </c>
      <c r="M162">
        <v>78.699401332973494</v>
      </c>
      <c r="N162">
        <v>0</v>
      </c>
      <c r="O162">
        <v>1060.8908068360199</v>
      </c>
      <c r="P162">
        <v>469.07119388464702</v>
      </c>
      <c r="Q162">
        <v>126.981549781905</v>
      </c>
      <c r="R162">
        <v>0</v>
      </c>
      <c r="S162">
        <v>17.129167288767398</v>
      </c>
      <c r="T162">
        <v>995.94144042378196</v>
      </c>
      <c r="U162">
        <v>1E-3</v>
      </c>
      <c r="V162">
        <v>1946.86786678561</v>
      </c>
    </row>
    <row r="163" spans="1:24" x14ac:dyDescent="0.2">
      <c r="A163">
        <v>6005</v>
      </c>
      <c r="B163">
        <v>45</v>
      </c>
      <c r="C163">
        <v>0</v>
      </c>
      <c r="D163">
        <v>1167.10824597085</v>
      </c>
      <c r="E163">
        <v>0</v>
      </c>
      <c r="F163">
        <v>386.672347354387</v>
      </c>
      <c r="G163">
        <v>0</v>
      </c>
      <c r="H163">
        <v>0</v>
      </c>
      <c r="I163">
        <v>539.241964305593</v>
      </c>
      <c r="J163">
        <v>0</v>
      </c>
      <c r="K163">
        <v>38.866551106276198</v>
      </c>
      <c r="L163">
        <v>0</v>
      </c>
      <c r="M163">
        <v>78.699401332973494</v>
      </c>
      <c r="N163">
        <v>0</v>
      </c>
      <c r="O163">
        <v>1211.1881192374101</v>
      </c>
      <c r="P163">
        <v>469.07119388464702</v>
      </c>
      <c r="Q163">
        <v>126.981549781905</v>
      </c>
      <c r="R163">
        <v>0</v>
      </c>
      <c r="S163">
        <v>17.129167288767398</v>
      </c>
      <c r="T163">
        <v>966.25972963356003</v>
      </c>
      <c r="U163">
        <v>1E-3</v>
      </c>
      <c r="V163">
        <v>1607.10085217905</v>
      </c>
    </row>
    <row r="164" spans="1:24" x14ac:dyDescent="0.2">
      <c r="C164" s="4">
        <f t="shared" ref="C164" si="14">+SUM(C126:C163)</f>
        <v>0</v>
      </c>
      <c r="D164" s="4">
        <f t="shared" ref="D164" si="15">+SUM(D126:D163)</f>
        <v>21935.513975577582</v>
      </c>
      <c r="E164" s="4">
        <f t="shared" ref="E164" si="16">+SUM(E126:E163)</f>
        <v>0</v>
      </c>
      <c r="F164" s="4">
        <f t="shared" ref="F164" si="17">+SUM(F126:F163)</f>
        <v>12531.172394840822</v>
      </c>
      <c r="G164" s="4">
        <f t="shared" ref="G164" si="18">+SUM(G126:G163)</f>
        <v>0</v>
      </c>
      <c r="H164" s="4">
        <f t="shared" ref="H164" si="19">+SUM(H126:H163)</f>
        <v>0</v>
      </c>
      <c r="I164" s="4">
        <f t="shared" ref="I164" si="20">+SUM(I126:I163)</f>
        <v>7503.3406284259545</v>
      </c>
      <c r="J164" s="4">
        <f t="shared" ref="J164" si="21">+SUM(J126:J163)</f>
        <v>340.26703279822527</v>
      </c>
      <c r="K164" s="4">
        <f t="shared" ref="K164" si="22">+SUM(K126:K163)</f>
        <v>12062.868137742444</v>
      </c>
      <c r="L164" s="4">
        <f t="shared" ref="L164" si="23">+SUM(L126:L163)</f>
        <v>0</v>
      </c>
      <c r="M164" s="4">
        <f>+SUM(M126:M163)</f>
        <v>70908.239194793932</v>
      </c>
      <c r="N164" s="4">
        <f t="shared" ref="N164" si="24">+SUM(N126:N163)</f>
        <v>0</v>
      </c>
      <c r="O164" s="4">
        <f t="shared" ref="O164" si="25">+SUM(O126:O163)</f>
        <v>20636.93988604876</v>
      </c>
      <c r="P164" s="4">
        <f t="shared" ref="P164" si="26">+SUM(P126:P163)</f>
        <v>23764.600095960697</v>
      </c>
      <c r="Q164" s="4">
        <f t="shared" ref="Q164" si="27">+SUM(Q126:Q163)</f>
        <v>4755.4588333034635</v>
      </c>
      <c r="R164" s="4">
        <f t="shared" ref="R164" si="28">+SUM(R126:R163)</f>
        <v>0</v>
      </c>
      <c r="S164" s="4">
        <f t="shared" ref="S164" si="29">+SUM(S126:S163)</f>
        <v>45120.321968410273</v>
      </c>
      <c r="T164" s="4">
        <f t="shared" ref="T164" si="30">+SUM(T126:T163)</f>
        <v>17141.593266996697</v>
      </c>
      <c r="U164" s="4">
        <f t="shared" ref="U164" si="31">+SUM(U126:U163)</f>
        <v>3.8000000000000027E-2</v>
      </c>
      <c r="V164" s="4">
        <f t="shared" ref="V164" si="32">+SUM(V126:V163)</f>
        <v>49118.170651545552</v>
      </c>
      <c r="X164" s="4">
        <f>+SUM(C164:V164)</f>
        <v>285818.52406644443</v>
      </c>
    </row>
    <row r="165" spans="1:24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X165" s="4"/>
    </row>
    <row r="167" spans="1:24" x14ac:dyDescent="0.2">
      <c r="A167">
        <v>6005</v>
      </c>
      <c r="B167">
        <v>8</v>
      </c>
      <c r="C167" s="4">
        <f>+(C126-C2)</f>
        <v>0</v>
      </c>
      <c r="D167" s="4">
        <f t="shared" ref="D167:V167" si="33">+(D126-D2)</f>
        <v>0</v>
      </c>
      <c r="E167" s="4">
        <f t="shared" si="33"/>
        <v>0</v>
      </c>
      <c r="F167" s="4">
        <f t="shared" si="33"/>
        <v>20.939844196821301</v>
      </c>
      <c r="G167" s="4">
        <f t="shared" si="33"/>
        <v>0</v>
      </c>
      <c r="H167" s="4">
        <f t="shared" si="33"/>
        <v>0</v>
      </c>
      <c r="I167" s="4">
        <f t="shared" si="33"/>
        <v>7.0918987804539091E-3</v>
      </c>
      <c r="J167" s="4">
        <f t="shared" si="33"/>
        <v>0</v>
      </c>
      <c r="K167" s="4">
        <f t="shared" si="33"/>
        <v>2.1650083144720611</v>
      </c>
      <c r="L167" s="4">
        <f t="shared" si="33"/>
        <v>0</v>
      </c>
      <c r="M167" s="4">
        <f t="shared" si="33"/>
        <v>15.220177236659765</v>
      </c>
      <c r="N167" s="4">
        <f t="shared" si="33"/>
        <v>0</v>
      </c>
      <c r="O167" s="4">
        <f t="shared" si="33"/>
        <v>2.7244415649988696E-2</v>
      </c>
      <c r="P167" s="4">
        <f t="shared" si="33"/>
        <v>0.14886998901806692</v>
      </c>
      <c r="Q167" s="4">
        <f t="shared" si="33"/>
        <v>0.18620315847999791</v>
      </c>
      <c r="R167" s="4">
        <f t="shared" si="33"/>
        <v>0</v>
      </c>
      <c r="S167" s="4">
        <f t="shared" si="33"/>
        <v>7.5312209393100602</v>
      </c>
      <c r="T167" s="4">
        <f t="shared" si="33"/>
        <v>2.278169972669275E-7</v>
      </c>
      <c r="U167" s="4">
        <f t="shared" si="33"/>
        <v>0</v>
      </c>
      <c r="V167" s="4">
        <f t="shared" si="33"/>
        <v>5.8862701735051814E-7</v>
      </c>
      <c r="X167" s="3">
        <f>+(SUM(C167:V167)*1000000)/1000000000</f>
        <v>4.6225660965635712E-2</v>
      </c>
    </row>
    <row r="168" spans="1:24" x14ac:dyDescent="0.2">
      <c r="A168">
        <v>6005</v>
      </c>
      <c r="B168">
        <v>9</v>
      </c>
      <c r="C168" s="4">
        <f t="shared" ref="C168:V168" si="34">+(C127-C3)</f>
        <v>0</v>
      </c>
      <c r="D168" s="4">
        <f t="shared" si="34"/>
        <v>0</v>
      </c>
      <c r="E168" s="4">
        <f t="shared" si="34"/>
        <v>0</v>
      </c>
      <c r="F168" s="4">
        <f t="shared" si="34"/>
        <v>41.787528071059</v>
      </c>
      <c r="G168" s="4">
        <f t="shared" si="34"/>
        <v>0</v>
      </c>
      <c r="H168" s="4">
        <f t="shared" si="34"/>
        <v>0</v>
      </c>
      <c r="I168" s="4">
        <f t="shared" si="34"/>
        <v>1.4334856812786012E-2</v>
      </c>
      <c r="J168" s="4">
        <f t="shared" si="34"/>
        <v>0</v>
      </c>
      <c r="K168" s="4">
        <f t="shared" si="34"/>
        <v>2.5401725686100463</v>
      </c>
      <c r="L168" s="4">
        <f t="shared" si="34"/>
        <v>0</v>
      </c>
      <c r="M168" s="4">
        <f t="shared" si="34"/>
        <v>27.513182619340114</v>
      </c>
      <c r="N168" s="4">
        <f t="shared" si="34"/>
        <v>0</v>
      </c>
      <c r="O168" s="4">
        <f t="shared" si="34"/>
        <v>7.2703755747994592E-2</v>
      </c>
      <c r="P168" s="4">
        <f t="shared" si="34"/>
        <v>0.35041951917105507</v>
      </c>
      <c r="Q168" s="4">
        <f t="shared" si="34"/>
        <v>0.35787951190198442</v>
      </c>
      <c r="R168" s="4">
        <f t="shared" si="34"/>
        <v>0</v>
      </c>
      <c r="S168" s="4">
        <f t="shared" si="34"/>
        <v>22.42038761187996</v>
      </c>
      <c r="T168" s="4">
        <f t="shared" si="34"/>
        <v>1.1704401121779995</v>
      </c>
      <c r="U168" s="4">
        <f t="shared" si="34"/>
        <v>0</v>
      </c>
      <c r="V168" s="4">
        <f t="shared" si="34"/>
        <v>3.437064891801981</v>
      </c>
      <c r="X168" s="3">
        <f t="shared" ref="X168:X204" si="35">+(SUM(C168:V168)*1000000)/1000000000</f>
        <v>9.966411351850292E-2</v>
      </c>
    </row>
    <row r="169" spans="1:24" x14ac:dyDescent="0.2">
      <c r="A169">
        <v>6005</v>
      </c>
      <c r="B169">
        <v>10</v>
      </c>
      <c r="C169" s="4">
        <f t="shared" ref="C169:V169" si="36">+(C128-C4)</f>
        <v>0</v>
      </c>
      <c r="D169" s="4">
        <f t="shared" si="36"/>
        <v>0</v>
      </c>
      <c r="E169" s="4">
        <f t="shared" si="36"/>
        <v>0</v>
      </c>
      <c r="F169" s="4">
        <f t="shared" si="36"/>
        <v>62.398220500348998</v>
      </c>
      <c r="G169" s="4">
        <f t="shared" si="36"/>
        <v>0</v>
      </c>
      <c r="H169" s="4">
        <f t="shared" si="36"/>
        <v>0</v>
      </c>
      <c r="I169" s="4">
        <f t="shared" si="36"/>
        <v>2.2479668333257985E-2</v>
      </c>
      <c r="J169" s="4">
        <f t="shared" si="36"/>
        <v>0</v>
      </c>
      <c r="K169" s="4">
        <f t="shared" si="36"/>
        <v>3.7998927263610085</v>
      </c>
      <c r="L169" s="4">
        <f t="shared" si="36"/>
        <v>0</v>
      </c>
      <c r="M169" s="4">
        <f t="shared" si="36"/>
        <v>49.002953815370347</v>
      </c>
      <c r="N169" s="4">
        <f t="shared" si="36"/>
        <v>0</v>
      </c>
      <c r="O169" s="4">
        <f t="shared" si="36"/>
        <v>0.10871421278798721</v>
      </c>
      <c r="P169" s="4">
        <f t="shared" si="36"/>
        <v>0.52419926052596111</v>
      </c>
      <c r="Q169" s="4">
        <f t="shared" si="36"/>
        <v>1.7475253148119947</v>
      </c>
      <c r="R169" s="4">
        <f t="shared" si="36"/>
        <v>0</v>
      </c>
      <c r="S169" s="4">
        <f t="shared" si="36"/>
        <v>33.53908662008962</v>
      </c>
      <c r="T169" s="4">
        <f t="shared" si="36"/>
        <v>2.1466548001439918</v>
      </c>
      <c r="U169" s="4">
        <f t="shared" si="36"/>
        <v>0</v>
      </c>
      <c r="V169" s="4">
        <f t="shared" si="36"/>
        <v>5.0241374607940088</v>
      </c>
      <c r="X169" s="3">
        <f t="shared" si="35"/>
        <v>0.15831386437956718</v>
      </c>
    </row>
    <row r="170" spans="1:24" x14ac:dyDescent="0.2">
      <c r="A170">
        <v>6005</v>
      </c>
      <c r="B170">
        <v>11</v>
      </c>
      <c r="C170" s="4">
        <f t="shared" ref="C170:V170" si="37">+(C129-C5)</f>
        <v>0</v>
      </c>
      <c r="D170" s="4">
        <f t="shared" si="37"/>
        <v>6.2294340552751297</v>
      </c>
      <c r="E170" s="4">
        <f t="shared" si="37"/>
        <v>0</v>
      </c>
      <c r="F170" s="4">
        <f t="shared" si="37"/>
        <v>111.638015569535</v>
      </c>
      <c r="G170" s="4">
        <f t="shared" si="37"/>
        <v>0</v>
      </c>
      <c r="H170" s="4">
        <f t="shared" si="37"/>
        <v>0</v>
      </c>
      <c r="I170" s="4">
        <f t="shared" si="37"/>
        <v>2.4068788481947601</v>
      </c>
      <c r="J170" s="4">
        <f t="shared" si="37"/>
        <v>-95.127635804561791</v>
      </c>
      <c r="K170" s="4">
        <f t="shared" si="37"/>
        <v>-5.2327184289829347</v>
      </c>
      <c r="L170" s="4">
        <f t="shared" si="37"/>
        <v>0</v>
      </c>
      <c r="M170" s="4">
        <f t="shared" si="37"/>
        <v>-65.166725642190158</v>
      </c>
      <c r="N170" s="4">
        <f t="shared" si="37"/>
        <v>0</v>
      </c>
      <c r="O170" s="4">
        <f t="shared" si="37"/>
        <v>13.641631603947999</v>
      </c>
      <c r="P170" s="4">
        <f t="shared" si="37"/>
        <v>-0.53296121996402235</v>
      </c>
      <c r="Q170" s="4">
        <f t="shared" si="37"/>
        <v>1.6370054759630079</v>
      </c>
      <c r="R170" s="4">
        <f t="shared" si="37"/>
        <v>0</v>
      </c>
      <c r="S170" s="4">
        <f t="shared" si="37"/>
        <v>-46.185671356110106</v>
      </c>
      <c r="T170" s="4">
        <f t="shared" si="37"/>
        <v>22.833618476384999</v>
      </c>
      <c r="U170" s="4">
        <f t="shared" si="37"/>
        <v>0</v>
      </c>
      <c r="V170" s="4">
        <f t="shared" si="37"/>
        <v>94.902892815922996</v>
      </c>
      <c r="X170" s="3">
        <f t="shared" si="35"/>
        <v>4.1043764393414894E-2</v>
      </c>
    </row>
    <row r="171" spans="1:24" x14ac:dyDescent="0.2">
      <c r="A171">
        <v>6005</v>
      </c>
      <c r="B171">
        <v>12</v>
      </c>
      <c r="C171" s="4">
        <f t="shared" ref="C171:V171" si="38">+(C130-C6)</f>
        <v>0</v>
      </c>
      <c r="D171" s="4">
        <f t="shared" si="38"/>
        <v>17.559824588325</v>
      </c>
      <c r="E171" s="4">
        <f t="shared" si="38"/>
        <v>0</v>
      </c>
      <c r="F171" s="4">
        <f t="shared" si="38"/>
        <v>152.95531417725201</v>
      </c>
      <c r="G171" s="4">
        <f t="shared" si="38"/>
        <v>0</v>
      </c>
      <c r="H171" s="4">
        <f t="shared" si="38"/>
        <v>0</v>
      </c>
      <c r="I171" s="4">
        <f t="shared" si="38"/>
        <v>5.1399073363115404</v>
      </c>
      <c r="J171" s="4">
        <f t="shared" si="38"/>
        <v>0.45164125486800799</v>
      </c>
      <c r="K171" s="4">
        <f t="shared" si="38"/>
        <v>-14.307378860722906</v>
      </c>
      <c r="L171" s="4">
        <f t="shared" si="38"/>
        <v>0</v>
      </c>
      <c r="M171" s="4">
        <f t="shared" si="38"/>
        <v>-210.07587142251987</v>
      </c>
      <c r="N171" s="4">
        <f t="shared" si="38"/>
        <v>0</v>
      </c>
      <c r="O171" s="4">
        <f t="shared" si="38"/>
        <v>55.83103686416689</v>
      </c>
      <c r="P171" s="4">
        <f t="shared" si="38"/>
        <v>-1.4759225699550598</v>
      </c>
      <c r="Q171" s="4">
        <f t="shared" si="38"/>
        <v>1.6370054759640027</v>
      </c>
      <c r="R171" s="4">
        <f t="shared" si="38"/>
        <v>0</v>
      </c>
      <c r="S171" s="4">
        <f t="shared" si="38"/>
        <v>-126.28156989470017</v>
      </c>
      <c r="T171" s="4">
        <f t="shared" si="38"/>
        <v>43.710726996383016</v>
      </c>
      <c r="U171" s="4">
        <f t="shared" si="38"/>
        <v>0</v>
      </c>
      <c r="V171" s="4">
        <f t="shared" si="38"/>
        <v>114.561599342531</v>
      </c>
      <c r="X171" s="3">
        <f t="shared" si="35"/>
        <v>3.9706313287903472E-2</v>
      </c>
    </row>
    <row r="172" spans="1:24" x14ac:dyDescent="0.2">
      <c r="A172">
        <v>6005</v>
      </c>
      <c r="B172">
        <v>13</v>
      </c>
      <c r="C172" s="4">
        <f t="shared" ref="C172:V172" si="39">+(C131-C7)</f>
        <v>0</v>
      </c>
      <c r="D172" s="4">
        <f t="shared" si="39"/>
        <v>33.194948462438703</v>
      </c>
      <c r="E172" s="4">
        <f t="shared" si="39"/>
        <v>0</v>
      </c>
      <c r="F172" s="4">
        <f t="shared" si="39"/>
        <v>187.231156678492</v>
      </c>
      <c r="G172" s="4">
        <f t="shared" si="39"/>
        <v>0</v>
      </c>
      <c r="H172" s="4">
        <f t="shared" si="39"/>
        <v>0</v>
      </c>
      <c r="I172" s="4">
        <f t="shared" si="39"/>
        <v>8.7135641683457301</v>
      </c>
      <c r="J172" s="4">
        <f t="shared" si="39"/>
        <v>0</v>
      </c>
      <c r="K172" s="4">
        <f t="shared" si="39"/>
        <v>-23.437686534323007</v>
      </c>
      <c r="L172" s="4">
        <f t="shared" si="39"/>
        <v>0</v>
      </c>
      <c r="M172" s="4">
        <f t="shared" si="39"/>
        <v>-358.27557769168016</v>
      </c>
      <c r="N172" s="4">
        <f t="shared" si="39"/>
        <v>0</v>
      </c>
      <c r="O172" s="4">
        <f t="shared" si="39"/>
        <v>81.868734804447911</v>
      </c>
      <c r="P172" s="4">
        <f t="shared" si="39"/>
        <v>-2.432953526155984</v>
      </c>
      <c r="Q172" s="4">
        <f t="shared" si="39"/>
        <v>1.6370054759630079</v>
      </c>
      <c r="R172" s="4">
        <f t="shared" si="39"/>
        <v>0</v>
      </c>
      <c r="S172" s="4">
        <f t="shared" si="39"/>
        <v>-206.86862905260023</v>
      </c>
      <c r="T172" s="4">
        <f t="shared" si="39"/>
        <v>63.585455711706999</v>
      </c>
      <c r="U172" s="4">
        <f t="shared" si="39"/>
        <v>0</v>
      </c>
      <c r="V172" s="4">
        <f t="shared" si="39"/>
        <v>166.09818495887305</v>
      </c>
      <c r="X172" s="3">
        <f t="shared" si="35"/>
        <v>-4.8685796544491976E-2</v>
      </c>
    </row>
    <row r="173" spans="1:24" x14ac:dyDescent="0.2">
      <c r="A173">
        <v>6005</v>
      </c>
      <c r="B173">
        <v>14</v>
      </c>
      <c r="C173" s="4">
        <f t="shared" ref="C173:V173" si="40">+(C132-C8)</f>
        <v>0</v>
      </c>
      <c r="D173" s="4">
        <f t="shared" si="40"/>
        <v>58.2491417701751</v>
      </c>
      <c r="E173" s="4">
        <f t="shared" si="40"/>
        <v>0</v>
      </c>
      <c r="F173" s="4">
        <f t="shared" si="40"/>
        <v>201.69144246273447</v>
      </c>
      <c r="G173" s="4">
        <f t="shared" si="40"/>
        <v>0</v>
      </c>
      <c r="H173" s="4">
        <f t="shared" si="40"/>
        <v>0</v>
      </c>
      <c r="I173" s="4">
        <f t="shared" si="40"/>
        <v>13.858513777627959</v>
      </c>
      <c r="J173" s="4">
        <f t="shared" si="40"/>
        <v>0</v>
      </c>
      <c r="K173" s="4">
        <f t="shared" si="40"/>
        <v>-33.354236195535009</v>
      </c>
      <c r="L173" s="4">
        <f t="shared" si="40"/>
        <v>0</v>
      </c>
      <c r="M173" s="4">
        <f t="shared" si="40"/>
        <v>-489.13562484776003</v>
      </c>
      <c r="N173" s="4">
        <f t="shared" si="40"/>
        <v>0</v>
      </c>
      <c r="O173" s="4">
        <f t="shared" si="40"/>
        <v>107.70406562171411</v>
      </c>
      <c r="P173" s="4">
        <f t="shared" si="40"/>
        <v>-3.2488741789750293</v>
      </c>
      <c r="Q173" s="4">
        <f t="shared" si="40"/>
        <v>1.6370054759630079</v>
      </c>
      <c r="R173" s="4">
        <f t="shared" si="40"/>
        <v>0</v>
      </c>
      <c r="S173" s="4">
        <f t="shared" si="40"/>
        <v>-294.39531520154014</v>
      </c>
      <c r="T173" s="4">
        <f t="shared" si="40"/>
        <v>83.146863327630982</v>
      </c>
      <c r="U173" s="4">
        <f t="shared" si="40"/>
        <v>0</v>
      </c>
      <c r="V173" s="4">
        <f t="shared" si="40"/>
        <v>217.17748505218304</v>
      </c>
      <c r="X173" s="3">
        <f t="shared" si="35"/>
        <v>-0.13666953293578155</v>
      </c>
    </row>
    <row r="174" spans="1:24" x14ac:dyDescent="0.2">
      <c r="A174">
        <v>6005</v>
      </c>
      <c r="B174">
        <v>15</v>
      </c>
      <c r="C174" s="4">
        <f t="shared" ref="C174:V174" si="41">+(C133-C9)</f>
        <v>0</v>
      </c>
      <c r="D174" s="4">
        <f t="shared" si="41"/>
        <v>88.326596489705196</v>
      </c>
      <c r="E174" s="4">
        <f t="shared" si="41"/>
        <v>0</v>
      </c>
      <c r="F174" s="4">
        <f t="shared" si="41"/>
        <v>206.86184166299992</v>
      </c>
      <c r="G174" s="4">
        <f t="shared" si="41"/>
        <v>0</v>
      </c>
      <c r="H174" s="4">
        <f t="shared" si="41"/>
        <v>0</v>
      </c>
      <c r="I174" s="4">
        <f t="shared" si="41"/>
        <v>19.717496083602171</v>
      </c>
      <c r="J174" s="4">
        <f t="shared" si="41"/>
        <v>0</v>
      </c>
      <c r="K174" s="4">
        <f t="shared" si="41"/>
        <v>-43.596540238805005</v>
      </c>
      <c r="L174" s="4">
        <f t="shared" si="41"/>
        <v>0</v>
      </c>
      <c r="M174" s="4">
        <f t="shared" si="41"/>
        <v>-610.74706396234023</v>
      </c>
      <c r="N174" s="4">
        <f t="shared" si="41"/>
        <v>0</v>
      </c>
      <c r="O174" s="4">
        <f t="shared" si="41"/>
        <v>133.14398053547188</v>
      </c>
      <c r="P174" s="4">
        <f t="shared" si="41"/>
        <v>-4.0794519918230208</v>
      </c>
      <c r="Q174" s="4">
        <f t="shared" si="41"/>
        <v>1.6370054759630079</v>
      </c>
      <c r="R174" s="4">
        <f t="shared" si="41"/>
        <v>0</v>
      </c>
      <c r="S174" s="4">
        <f t="shared" si="41"/>
        <v>-384.79721526396997</v>
      </c>
      <c r="T174" s="4">
        <f t="shared" si="41"/>
        <v>123.773479713911</v>
      </c>
      <c r="U174" s="4">
        <f t="shared" si="41"/>
        <v>0</v>
      </c>
      <c r="V174" s="4">
        <f t="shared" si="41"/>
        <v>212.21714444410497</v>
      </c>
      <c r="X174" s="3">
        <f t="shared" si="35"/>
        <v>-0.25754272705118014</v>
      </c>
    </row>
    <row r="175" spans="1:24" x14ac:dyDescent="0.2">
      <c r="A175">
        <v>6005</v>
      </c>
      <c r="B175">
        <v>16</v>
      </c>
      <c r="C175" s="4">
        <f t="shared" ref="C175:V175" si="42">+(C134-C10)</f>
        <v>0</v>
      </c>
      <c r="D175" s="4">
        <f t="shared" si="42"/>
        <v>122.362808479713</v>
      </c>
      <c r="E175" s="4">
        <f t="shared" si="42"/>
        <v>0</v>
      </c>
      <c r="F175" s="4">
        <f t="shared" si="42"/>
        <v>203.59272916575802</v>
      </c>
      <c r="G175" s="4">
        <f t="shared" si="42"/>
        <v>0</v>
      </c>
      <c r="H175" s="4">
        <f t="shared" si="42"/>
        <v>0</v>
      </c>
      <c r="I175" s="4">
        <f t="shared" si="42"/>
        <v>26.323201053387542</v>
      </c>
      <c r="J175" s="4">
        <f t="shared" si="42"/>
        <v>0</v>
      </c>
      <c r="K175" s="4">
        <f t="shared" si="42"/>
        <v>-54.251613960918007</v>
      </c>
      <c r="L175" s="4">
        <f t="shared" si="42"/>
        <v>0</v>
      </c>
      <c r="M175" s="4">
        <f t="shared" si="42"/>
        <v>-750.18563064006003</v>
      </c>
      <c r="N175" s="4">
        <f t="shared" si="42"/>
        <v>0</v>
      </c>
      <c r="O175" s="4">
        <f t="shared" si="42"/>
        <v>158.11523788462142</v>
      </c>
      <c r="P175" s="4">
        <f t="shared" si="42"/>
        <v>-4.9408609478999779</v>
      </c>
      <c r="Q175" s="4">
        <f t="shared" si="42"/>
        <v>1.6370054759630079</v>
      </c>
      <c r="R175" s="4">
        <f t="shared" si="42"/>
        <v>0</v>
      </c>
      <c r="S175" s="4">
        <f t="shared" si="42"/>
        <v>-478.84235449394009</v>
      </c>
      <c r="T175" s="4">
        <f t="shared" si="42"/>
        <v>163.37334592359298</v>
      </c>
      <c r="U175" s="4">
        <f t="shared" si="42"/>
        <v>0</v>
      </c>
      <c r="V175" s="4">
        <f t="shared" si="42"/>
        <v>207.54382920442004</v>
      </c>
      <c r="X175" s="3">
        <f t="shared" si="35"/>
        <v>-0.40527230285536214</v>
      </c>
    </row>
    <row r="176" spans="1:24" x14ac:dyDescent="0.2">
      <c r="A176">
        <v>6005</v>
      </c>
      <c r="B176">
        <v>17</v>
      </c>
      <c r="C176" s="4">
        <f t="shared" ref="C176:V176" si="43">+(C135-C11)</f>
        <v>0</v>
      </c>
      <c r="D176" s="4">
        <f t="shared" si="43"/>
        <v>159.56329889469501</v>
      </c>
      <c r="E176" s="4">
        <f t="shared" si="43"/>
        <v>0</v>
      </c>
      <c r="F176" s="4">
        <f t="shared" si="43"/>
        <v>193.10446290967502</v>
      </c>
      <c r="G176" s="4">
        <f t="shared" si="43"/>
        <v>0</v>
      </c>
      <c r="H176" s="4">
        <f t="shared" si="43"/>
        <v>0</v>
      </c>
      <c r="I176" s="4">
        <f t="shared" si="43"/>
        <v>33.716954175098031</v>
      </c>
      <c r="J176" s="4">
        <f t="shared" si="43"/>
        <v>0</v>
      </c>
      <c r="K176" s="4">
        <f t="shared" si="43"/>
        <v>-65.359985127713003</v>
      </c>
      <c r="L176" s="4">
        <f t="shared" si="43"/>
        <v>0</v>
      </c>
      <c r="M176" s="4">
        <f t="shared" si="43"/>
        <v>-898.89425039373009</v>
      </c>
      <c r="N176" s="4">
        <f t="shared" si="43"/>
        <v>0</v>
      </c>
      <c r="O176" s="4">
        <f t="shared" si="43"/>
        <v>182.68618118538279</v>
      </c>
      <c r="P176" s="4">
        <f t="shared" si="43"/>
        <v>-5.8223788060359993</v>
      </c>
      <c r="Q176" s="4">
        <f t="shared" si="43"/>
        <v>1.6370054759630079</v>
      </c>
      <c r="R176" s="4">
        <f t="shared" si="43"/>
        <v>0</v>
      </c>
      <c r="S176" s="4">
        <f t="shared" si="43"/>
        <v>-576.88844410757997</v>
      </c>
      <c r="T176" s="4">
        <f t="shared" si="43"/>
        <v>156.23832101414399</v>
      </c>
      <c r="U176" s="4">
        <f t="shared" si="43"/>
        <v>0</v>
      </c>
      <c r="V176" s="4">
        <f t="shared" si="43"/>
        <v>320.98416686743496</v>
      </c>
      <c r="X176" s="3">
        <f t="shared" si="35"/>
        <v>-0.49903466791266615</v>
      </c>
    </row>
    <row r="177" spans="1:24" x14ac:dyDescent="0.2">
      <c r="A177">
        <v>6005</v>
      </c>
      <c r="B177">
        <v>18</v>
      </c>
      <c r="C177" s="4">
        <f t="shared" ref="C177:V177" si="44">+(C136-C12)</f>
        <v>0</v>
      </c>
      <c r="D177" s="4">
        <f t="shared" si="44"/>
        <v>199.27532381441</v>
      </c>
      <c r="E177" s="4">
        <f t="shared" si="44"/>
        <v>0</v>
      </c>
      <c r="F177" s="4">
        <f t="shared" si="44"/>
        <v>176.44166962353901</v>
      </c>
      <c r="G177" s="4">
        <f t="shared" si="44"/>
        <v>0</v>
      </c>
      <c r="H177" s="4">
        <f t="shared" si="44"/>
        <v>0</v>
      </c>
      <c r="I177" s="4">
        <f t="shared" si="44"/>
        <v>42.436630918977414</v>
      </c>
      <c r="J177" s="4">
        <f t="shared" si="44"/>
        <v>0</v>
      </c>
      <c r="K177" s="4">
        <f t="shared" si="44"/>
        <v>-76.983863134537955</v>
      </c>
      <c r="L177" s="4">
        <f t="shared" si="44"/>
        <v>0</v>
      </c>
      <c r="M177" s="4">
        <f t="shared" si="44"/>
        <v>-1078.8268860121502</v>
      </c>
      <c r="N177" s="4">
        <f t="shared" si="44"/>
        <v>0</v>
      </c>
      <c r="O177" s="4">
        <f t="shared" si="44"/>
        <v>206.85089208947801</v>
      </c>
      <c r="P177" s="4">
        <f t="shared" si="44"/>
        <v>-6.725998005224028</v>
      </c>
      <c r="Q177" s="4">
        <f t="shared" si="44"/>
        <v>1.6370054759630079</v>
      </c>
      <c r="R177" s="4">
        <f t="shared" si="44"/>
        <v>0</v>
      </c>
      <c r="S177" s="4">
        <f t="shared" si="44"/>
        <v>-679.48456442119982</v>
      </c>
      <c r="T177" s="4">
        <f t="shared" si="44"/>
        <v>145.17643485357101</v>
      </c>
      <c r="U177" s="4">
        <f t="shared" si="44"/>
        <v>0</v>
      </c>
      <c r="V177" s="4">
        <f t="shared" si="44"/>
        <v>439.08941968607502</v>
      </c>
      <c r="X177" s="3">
        <f t="shared" si="35"/>
        <v>-0.63111393511109881</v>
      </c>
    </row>
    <row r="178" spans="1:24" x14ac:dyDescent="0.2">
      <c r="A178">
        <v>6005</v>
      </c>
      <c r="B178">
        <v>19</v>
      </c>
      <c r="C178" s="4">
        <f t="shared" ref="C178:V178" si="45">+(C137-C13)</f>
        <v>0</v>
      </c>
      <c r="D178" s="4">
        <f t="shared" si="45"/>
        <v>240.954233547862</v>
      </c>
      <c r="E178" s="4">
        <f t="shared" si="45"/>
        <v>0</v>
      </c>
      <c r="F178" s="4">
        <f t="shared" si="45"/>
        <v>154.480484042119</v>
      </c>
      <c r="G178" s="4">
        <f t="shared" si="45"/>
        <v>0</v>
      </c>
      <c r="H178" s="4">
        <f t="shared" si="45"/>
        <v>0</v>
      </c>
      <c r="I178" s="4">
        <f t="shared" si="45"/>
        <v>50.985307416980618</v>
      </c>
      <c r="J178" s="4">
        <f t="shared" si="45"/>
        <v>0</v>
      </c>
      <c r="K178" s="4">
        <f t="shared" si="45"/>
        <v>-89.143896679779004</v>
      </c>
      <c r="L178" s="4">
        <f t="shared" si="45"/>
        <v>0</v>
      </c>
      <c r="M178" s="4">
        <f t="shared" si="45"/>
        <v>-1255.1972030807301</v>
      </c>
      <c r="N178" s="4">
        <f t="shared" si="45"/>
        <v>0</v>
      </c>
      <c r="O178" s="4">
        <f t="shared" si="45"/>
        <v>230.61351240269852</v>
      </c>
      <c r="P178" s="4">
        <f t="shared" si="45"/>
        <v>-7.6525535096200201</v>
      </c>
      <c r="Q178" s="4">
        <f t="shared" si="45"/>
        <v>1.6370054759630079</v>
      </c>
      <c r="R178" s="4">
        <f t="shared" si="45"/>
        <v>0</v>
      </c>
      <c r="S178" s="4">
        <f t="shared" si="45"/>
        <v>-786.81296754893992</v>
      </c>
      <c r="T178" s="4">
        <f t="shared" si="45"/>
        <v>162.15937476353801</v>
      </c>
      <c r="U178" s="4">
        <f t="shared" si="45"/>
        <v>0</v>
      </c>
      <c r="V178" s="4">
        <f t="shared" si="45"/>
        <v>491.83270975717204</v>
      </c>
      <c r="X178" s="3">
        <f t="shared" si="35"/>
        <v>-0.8061439934127359</v>
      </c>
    </row>
    <row r="179" spans="1:24" x14ac:dyDescent="0.2">
      <c r="A179">
        <v>6005</v>
      </c>
      <c r="B179">
        <v>20</v>
      </c>
      <c r="C179" s="4">
        <f t="shared" ref="C179:V179" si="46">+(C138-C14)</f>
        <v>0</v>
      </c>
      <c r="D179" s="4">
        <f t="shared" si="46"/>
        <v>284.14275794636302</v>
      </c>
      <c r="E179" s="4">
        <f t="shared" si="46"/>
        <v>0</v>
      </c>
      <c r="F179" s="4">
        <f t="shared" si="46"/>
        <v>127.95887473755201</v>
      </c>
      <c r="G179" s="4">
        <f t="shared" si="46"/>
        <v>0</v>
      </c>
      <c r="H179" s="4">
        <f t="shared" si="46"/>
        <v>0</v>
      </c>
      <c r="I179" s="4">
        <f t="shared" si="46"/>
        <v>60.909941672352531</v>
      </c>
      <c r="J179" s="4">
        <f t="shared" si="46"/>
        <v>0</v>
      </c>
      <c r="K179" s="4">
        <f t="shared" si="46"/>
        <v>-101.88536562362992</v>
      </c>
      <c r="L179" s="4">
        <f t="shared" si="46"/>
        <v>0</v>
      </c>
      <c r="M179" s="4">
        <f t="shared" si="46"/>
        <v>-1470.5744392070596</v>
      </c>
      <c r="N179" s="4">
        <f t="shared" si="46"/>
        <v>0</v>
      </c>
      <c r="O179" s="4">
        <f t="shared" si="46"/>
        <v>253.99492170803796</v>
      </c>
      <c r="P179" s="4">
        <f t="shared" si="46"/>
        <v>-8.6007020090419246</v>
      </c>
      <c r="Q179" s="4">
        <f t="shared" si="46"/>
        <v>1.6370054759630079</v>
      </c>
      <c r="R179" s="4">
        <f t="shared" si="46"/>
        <v>0</v>
      </c>
      <c r="S179" s="4">
        <f t="shared" si="46"/>
        <v>-899.27330823447983</v>
      </c>
      <c r="T179" s="4">
        <f t="shared" si="46"/>
        <v>181.89822039509201</v>
      </c>
      <c r="U179" s="4">
        <f t="shared" si="46"/>
        <v>0</v>
      </c>
      <c r="V179" s="4">
        <f t="shared" si="46"/>
        <v>544.48176242700902</v>
      </c>
      <c r="X179" s="3">
        <f t="shared" si="35"/>
        <v>-1.0253103307118416</v>
      </c>
    </row>
    <row r="180" spans="1:24" x14ac:dyDescent="0.2">
      <c r="A180">
        <v>6005</v>
      </c>
      <c r="B180">
        <v>21</v>
      </c>
      <c r="C180" s="4">
        <f t="shared" ref="C180:V180" si="47">+(C139-C15)</f>
        <v>0</v>
      </c>
      <c r="D180" s="4">
        <f t="shared" si="47"/>
        <v>328.456266422954</v>
      </c>
      <c r="E180" s="4">
        <f t="shared" si="47"/>
        <v>0</v>
      </c>
      <c r="F180" s="4">
        <f t="shared" si="47"/>
        <v>97.503094566939012</v>
      </c>
      <c r="G180" s="4">
        <f t="shared" si="47"/>
        <v>0</v>
      </c>
      <c r="H180" s="4">
        <f t="shared" si="47"/>
        <v>0</v>
      </c>
      <c r="I180" s="4">
        <f t="shared" si="47"/>
        <v>71.700133182376291</v>
      </c>
      <c r="J180" s="4">
        <f t="shared" si="47"/>
        <v>0</v>
      </c>
      <c r="K180" s="4">
        <f t="shared" si="47"/>
        <v>-115.22324077286203</v>
      </c>
      <c r="L180" s="4">
        <f t="shared" si="47"/>
        <v>0</v>
      </c>
      <c r="M180" s="4">
        <f t="shared" si="47"/>
        <v>-1669.6203251554402</v>
      </c>
      <c r="N180" s="4">
        <f t="shared" si="47"/>
        <v>0</v>
      </c>
      <c r="O180" s="4">
        <f t="shared" si="47"/>
        <v>276.97133724000787</v>
      </c>
      <c r="P180" s="4">
        <f t="shared" si="47"/>
        <v>-9.573490750013093</v>
      </c>
      <c r="Q180" s="4">
        <f t="shared" si="47"/>
        <v>1.6370054759630079</v>
      </c>
      <c r="R180" s="4">
        <f t="shared" si="47"/>
        <v>0</v>
      </c>
      <c r="S180" s="4">
        <f t="shared" si="47"/>
        <v>-1016.99772367779</v>
      </c>
      <c r="T180" s="4">
        <f t="shared" si="47"/>
        <v>199.62042566493596</v>
      </c>
      <c r="U180" s="4">
        <f t="shared" si="47"/>
        <v>0</v>
      </c>
      <c r="V180" s="4">
        <f t="shared" si="47"/>
        <v>598.8607554759119</v>
      </c>
      <c r="X180" s="3">
        <f t="shared" si="35"/>
        <v>-1.2366657623270174</v>
      </c>
    </row>
    <row r="181" spans="1:24" x14ac:dyDescent="0.2">
      <c r="A181">
        <v>6005</v>
      </c>
      <c r="B181">
        <v>22</v>
      </c>
      <c r="C181" s="4">
        <f t="shared" ref="C181:V181" si="48">+(C140-C16)</f>
        <v>0</v>
      </c>
      <c r="D181" s="4">
        <f t="shared" si="48"/>
        <v>373.56481015593403</v>
      </c>
      <c r="E181" s="4">
        <f t="shared" si="48"/>
        <v>0</v>
      </c>
      <c r="F181" s="4">
        <f t="shared" si="48"/>
        <v>63.641266651161004</v>
      </c>
      <c r="G181" s="4">
        <f t="shared" si="48"/>
        <v>0</v>
      </c>
      <c r="H181" s="4">
        <f t="shared" si="48"/>
        <v>0</v>
      </c>
      <c r="I181" s="4">
        <f t="shared" si="48"/>
        <v>83.394929099186612</v>
      </c>
      <c r="J181" s="4">
        <f t="shared" si="48"/>
        <v>0</v>
      </c>
      <c r="K181" s="4">
        <f t="shared" si="48"/>
        <v>-129.22097551392096</v>
      </c>
      <c r="L181" s="4">
        <f t="shared" si="48"/>
        <v>0</v>
      </c>
      <c r="M181" s="4">
        <f t="shared" si="48"/>
        <v>-1895.5922620866804</v>
      </c>
      <c r="N181" s="4">
        <f t="shared" si="48"/>
        <v>0</v>
      </c>
      <c r="O181" s="4">
        <f t="shared" si="48"/>
        <v>299.59885392555339</v>
      </c>
      <c r="P181" s="4">
        <f t="shared" si="48"/>
        <v>-10.567220373827013</v>
      </c>
      <c r="Q181" s="4">
        <f t="shared" si="48"/>
        <v>1.6370054759630079</v>
      </c>
      <c r="R181" s="4">
        <f t="shared" si="48"/>
        <v>0</v>
      </c>
      <c r="S181" s="4">
        <f t="shared" si="48"/>
        <v>-1140.5462740640999</v>
      </c>
      <c r="T181" s="4">
        <f t="shared" si="48"/>
        <v>218.06792204086901</v>
      </c>
      <c r="U181" s="4">
        <f t="shared" si="48"/>
        <v>0</v>
      </c>
      <c r="V181" s="4">
        <f t="shared" si="48"/>
        <v>660.45694204403708</v>
      </c>
      <c r="X181" s="3">
        <f t="shared" si="35"/>
        <v>-1.4755650026458238</v>
      </c>
    </row>
    <row r="182" spans="1:24" x14ac:dyDescent="0.2">
      <c r="A182">
        <v>6005</v>
      </c>
      <c r="B182">
        <v>23</v>
      </c>
      <c r="C182" s="4">
        <f t="shared" ref="C182:V182" si="49">+(C141-C17)</f>
        <v>0</v>
      </c>
      <c r="D182" s="4">
        <f t="shared" si="49"/>
        <v>419.18622414969298</v>
      </c>
      <c r="E182" s="4">
        <f t="shared" si="49"/>
        <v>0</v>
      </c>
      <c r="F182" s="4">
        <f t="shared" si="49"/>
        <v>29.101883064815979</v>
      </c>
      <c r="G182" s="4">
        <f t="shared" si="49"/>
        <v>0</v>
      </c>
      <c r="H182" s="4">
        <f t="shared" si="49"/>
        <v>0</v>
      </c>
      <c r="I182" s="4">
        <f t="shared" si="49"/>
        <v>94.339259848074505</v>
      </c>
      <c r="J182" s="4">
        <f t="shared" si="49"/>
        <v>0</v>
      </c>
      <c r="K182" s="4">
        <f t="shared" si="49"/>
        <v>-143.90914036139105</v>
      </c>
      <c r="L182" s="4">
        <f t="shared" si="49"/>
        <v>0</v>
      </c>
      <c r="M182" s="4">
        <f t="shared" si="49"/>
        <v>-2141.6555766142501</v>
      </c>
      <c r="N182" s="4">
        <f t="shared" si="49"/>
        <v>0</v>
      </c>
      <c r="O182" s="4">
        <f t="shared" si="49"/>
        <v>321.91353322222506</v>
      </c>
      <c r="P182" s="4">
        <f t="shared" si="49"/>
        <v>-11.582602172569977</v>
      </c>
      <c r="Q182" s="4">
        <f t="shared" si="49"/>
        <v>1.6370054759630079</v>
      </c>
      <c r="R182" s="4">
        <f t="shared" si="49"/>
        <v>0</v>
      </c>
      <c r="S182" s="4">
        <f t="shared" si="49"/>
        <v>-1270.6703783126702</v>
      </c>
      <c r="T182" s="4">
        <f t="shared" si="49"/>
        <v>236.62646634379104</v>
      </c>
      <c r="U182" s="4">
        <f t="shared" si="49"/>
        <v>0</v>
      </c>
      <c r="V182" s="4">
        <f t="shared" si="49"/>
        <v>740.84689202139214</v>
      </c>
      <c r="X182" s="3">
        <f t="shared" si="35"/>
        <v>-1.7241664333349265</v>
      </c>
    </row>
    <row r="183" spans="1:24" x14ac:dyDescent="0.2">
      <c r="A183">
        <v>6005</v>
      </c>
      <c r="B183">
        <v>24</v>
      </c>
      <c r="C183" s="4">
        <f t="shared" ref="C183:V183" si="50">+(C142-C18)</f>
        <v>0</v>
      </c>
      <c r="D183" s="4">
        <f t="shared" si="50"/>
        <v>465.05316732637698</v>
      </c>
      <c r="E183" s="4">
        <f t="shared" si="50"/>
        <v>0</v>
      </c>
      <c r="F183" s="4">
        <f t="shared" si="50"/>
        <v>-5.267169284598026</v>
      </c>
      <c r="G183" s="4">
        <f t="shared" si="50"/>
        <v>0</v>
      </c>
      <c r="H183" s="4">
        <f t="shared" si="50"/>
        <v>0</v>
      </c>
      <c r="I183" s="4">
        <f t="shared" si="50"/>
        <v>105.9175217324304</v>
      </c>
      <c r="J183" s="4">
        <f t="shared" si="50"/>
        <v>0</v>
      </c>
      <c r="K183" s="4">
        <f t="shared" si="50"/>
        <v>-159.32335413733699</v>
      </c>
      <c r="L183" s="4">
        <f t="shared" si="50"/>
        <v>0</v>
      </c>
      <c r="M183" s="4">
        <f t="shared" si="50"/>
        <v>-2363.87808655647</v>
      </c>
      <c r="N183" s="4">
        <f t="shared" si="50"/>
        <v>0</v>
      </c>
      <c r="O183" s="4">
        <f t="shared" si="50"/>
        <v>343.89341035485137</v>
      </c>
      <c r="P183" s="4">
        <f t="shared" si="50"/>
        <v>-12.621833727566923</v>
      </c>
      <c r="Q183" s="4">
        <f t="shared" si="50"/>
        <v>1.6370054759630079</v>
      </c>
      <c r="R183" s="4">
        <f t="shared" si="50"/>
        <v>0</v>
      </c>
      <c r="S183" s="4">
        <f t="shared" si="50"/>
        <v>-1408.9630556294101</v>
      </c>
      <c r="T183" s="4">
        <f t="shared" si="50"/>
        <v>278.22674726889602</v>
      </c>
      <c r="U183" s="4">
        <f t="shared" si="50"/>
        <v>0</v>
      </c>
      <c r="V183" s="4">
        <f t="shared" si="50"/>
        <v>788.03861808012698</v>
      </c>
      <c r="X183" s="3">
        <f t="shared" si="35"/>
        <v>-1.9672870290967372</v>
      </c>
    </row>
    <row r="184" spans="1:24" x14ac:dyDescent="0.2">
      <c r="A184">
        <v>6005</v>
      </c>
      <c r="B184">
        <v>25</v>
      </c>
      <c r="C184" s="4">
        <f t="shared" ref="C184:V184" si="51">+(C143-C19)</f>
        <v>0</v>
      </c>
      <c r="D184" s="4">
        <f t="shared" si="51"/>
        <v>512.27039600644798</v>
      </c>
      <c r="E184" s="4">
        <f t="shared" si="51"/>
        <v>0</v>
      </c>
      <c r="F184" s="4">
        <f t="shared" si="51"/>
        <v>-39.437726249271009</v>
      </c>
      <c r="G184" s="4">
        <f t="shared" si="51"/>
        <v>0</v>
      </c>
      <c r="H184" s="4">
        <f t="shared" si="51"/>
        <v>0</v>
      </c>
      <c r="I184" s="4">
        <f t="shared" si="51"/>
        <v>119.69336273096829</v>
      </c>
      <c r="J184" s="4">
        <f t="shared" si="51"/>
        <v>0</v>
      </c>
      <c r="K184" s="4">
        <f t="shared" si="51"/>
        <v>-209.82535970941001</v>
      </c>
      <c r="L184" s="4">
        <f t="shared" si="51"/>
        <v>0</v>
      </c>
      <c r="M184" s="4">
        <f t="shared" si="51"/>
        <v>-2681.8486757370101</v>
      </c>
      <c r="N184" s="4">
        <f t="shared" si="51"/>
        <v>0</v>
      </c>
      <c r="O184" s="4">
        <f t="shared" si="51"/>
        <v>365.49946508648628</v>
      </c>
      <c r="P184" s="4">
        <f t="shared" si="51"/>
        <v>-48.486757450217056</v>
      </c>
      <c r="Q184" s="4">
        <f t="shared" si="51"/>
        <v>1.6370054759630079</v>
      </c>
      <c r="R184" s="4">
        <f t="shared" si="51"/>
        <v>0</v>
      </c>
      <c r="S184" s="4">
        <f t="shared" si="51"/>
        <v>-1578.7327329917198</v>
      </c>
      <c r="T184" s="4">
        <f t="shared" si="51"/>
        <v>278.51818137108199</v>
      </c>
      <c r="U184" s="4">
        <f t="shared" si="51"/>
        <v>0</v>
      </c>
      <c r="V184" s="4">
        <f t="shared" si="51"/>
        <v>1146.443244316692</v>
      </c>
      <c r="X184" s="3">
        <f t="shared" si="35"/>
        <v>-2.1342695971499888</v>
      </c>
    </row>
    <row r="185" spans="1:24" x14ac:dyDescent="0.2">
      <c r="A185">
        <v>6005</v>
      </c>
      <c r="B185">
        <v>26</v>
      </c>
      <c r="C185" s="4">
        <f t="shared" ref="C185:V185" si="52">+(C144-C20)</f>
        <v>0</v>
      </c>
      <c r="D185" s="4">
        <f t="shared" si="52"/>
        <v>558.59140882496899</v>
      </c>
      <c r="E185" s="4">
        <f t="shared" si="52"/>
        <v>0</v>
      </c>
      <c r="F185" s="4">
        <f t="shared" si="52"/>
        <v>-73.220616980092018</v>
      </c>
      <c r="G185" s="4">
        <f t="shared" si="52"/>
        <v>0</v>
      </c>
      <c r="H185" s="4">
        <f t="shared" si="52"/>
        <v>0</v>
      </c>
      <c r="I185" s="4">
        <f t="shared" si="52"/>
        <v>131.72922885093271</v>
      </c>
      <c r="J185" s="4">
        <f t="shared" si="52"/>
        <v>0</v>
      </c>
      <c r="K185" s="4">
        <f t="shared" si="52"/>
        <v>-229.26824079745799</v>
      </c>
      <c r="L185" s="4">
        <f t="shared" si="52"/>
        <v>0</v>
      </c>
      <c r="M185" s="4">
        <f t="shared" si="52"/>
        <v>-2953.1852763789698</v>
      </c>
      <c r="N185" s="4">
        <f t="shared" si="52"/>
        <v>0</v>
      </c>
      <c r="O185" s="4">
        <f t="shared" si="52"/>
        <v>413.84500054574471</v>
      </c>
      <c r="P185" s="4">
        <f t="shared" si="52"/>
        <v>-64.526711852908988</v>
      </c>
      <c r="Q185" s="4">
        <f t="shared" si="52"/>
        <v>1.6370054759630079</v>
      </c>
      <c r="R185" s="4">
        <f t="shared" si="52"/>
        <v>0</v>
      </c>
      <c r="S185" s="4">
        <f t="shared" si="52"/>
        <v>-1760.0569915507601</v>
      </c>
      <c r="T185" s="4">
        <f t="shared" si="52"/>
        <v>288.825197114932</v>
      </c>
      <c r="U185" s="4">
        <f t="shared" si="52"/>
        <v>0</v>
      </c>
      <c r="V185" s="4">
        <f t="shared" si="52"/>
        <v>1219.1686783015659</v>
      </c>
      <c r="X185" s="3">
        <f t="shared" si="35"/>
        <v>-2.4664613184460813</v>
      </c>
    </row>
    <row r="186" spans="1:24" x14ac:dyDescent="0.2">
      <c r="A186">
        <v>6005</v>
      </c>
      <c r="B186">
        <v>27</v>
      </c>
      <c r="C186" s="4">
        <f t="shared" ref="C186:V186" si="53">+(C145-C21)</f>
        <v>0</v>
      </c>
      <c r="D186" s="4">
        <f t="shared" si="53"/>
        <v>604.39944178951703</v>
      </c>
      <c r="E186" s="4">
        <f t="shared" si="53"/>
        <v>0</v>
      </c>
      <c r="F186" s="4">
        <f t="shared" si="53"/>
        <v>-106.54617714099402</v>
      </c>
      <c r="G186" s="4">
        <f t="shared" si="53"/>
        <v>0</v>
      </c>
      <c r="H186" s="4">
        <f t="shared" si="53"/>
        <v>0</v>
      </c>
      <c r="I186" s="4">
        <f t="shared" si="53"/>
        <v>147.14235597433421</v>
      </c>
      <c r="J186" s="4">
        <f t="shared" si="53"/>
        <v>0</v>
      </c>
      <c r="K186" s="4">
        <f t="shared" si="53"/>
        <v>-249.44577243932599</v>
      </c>
      <c r="L186" s="4">
        <f t="shared" si="53"/>
        <v>0</v>
      </c>
      <c r="M186" s="4">
        <f t="shared" si="53"/>
        <v>-3242.7123978519403</v>
      </c>
      <c r="N186" s="4">
        <f t="shared" si="53"/>
        <v>0</v>
      </c>
      <c r="O186" s="4">
        <f t="shared" si="53"/>
        <v>435.38390564576866</v>
      </c>
      <c r="P186" s="4">
        <f t="shared" si="53"/>
        <v>-85.427330934595943</v>
      </c>
      <c r="Q186" s="4">
        <f t="shared" si="53"/>
        <v>1.6370054759630079</v>
      </c>
      <c r="R186" s="4">
        <f t="shared" si="53"/>
        <v>0</v>
      </c>
      <c r="S186" s="4">
        <f t="shared" si="53"/>
        <v>-1915.20610234386</v>
      </c>
      <c r="T186" s="4">
        <f t="shared" si="53"/>
        <v>306.58491077501304</v>
      </c>
      <c r="U186" s="4">
        <f t="shared" si="53"/>
        <v>0</v>
      </c>
      <c r="V186" s="4">
        <f t="shared" si="53"/>
        <v>1213.0405165368029</v>
      </c>
      <c r="X186" s="3">
        <f t="shared" si="35"/>
        <v>-2.8911496445133182</v>
      </c>
    </row>
    <row r="187" spans="1:24" x14ac:dyDescent="0.2">
      <c r="A187">
        <v>6005</v>
      </c>
      <c r="B187">
        <v>28</v>
      </c>
      <c r="C187" s="4">
        <f t="shared" ref="C187:V187" si="54">+(C146-C22)</f>
        <v>0</v>
      </c>
      <c r="D187" s="4">
        <f t="shared" si="54"/>
        <v>649.41027173615203</v>
      </c>
      <c r="E187" s="4">
        <f t="shared" si="54"/>
        <v>0</v>
      </c>
      <c r="F187" s="4">
        <f t="shared" si="54"/>
        <v>-139.30476188782001</v>
      </c>
      <c r="G187" s="4">
        <f t="shared" si="54"/>
        <v>0</v>
      </c>
      <c r="H187" s="4">
        <f t="shared" si="54"/>
        <v>0</v>
      </c>
      <c r="I187" s="4">
        <f t="shared" si="54"/>
        <v>160.2630622053336</v>
      </c>
      <c r="J187" s="4">
        <f t="shared" si="54"/>
        <v>0</v>
      </c>
      <c r="K187" s="4">
        <f t="shared" si="54"/>
        <v>-270.291025633949</v>
      </c>
      <c r="L187" s="4">
        <f t="shared" si="54"/>
        <v>0</v>
      </c>
      <c r="M187" s="4">
        <f t="shared" si="54"/>
        <v>-3540.09592718773</v>
      </c>
      <c r="N187" s="4">
        <f t="shared" si="54"/>
        <v>0</v>
      </c>
      <c r="O187" s="4">
        <f t="shared" si="54"/>
        <v>440.63734860777049</v>
      </c>
      <c r="P187" s="4">
        <f t="shared" si="54"/>
        <v>-101.48476349093505</v>
      </c>
      <c r="Q187" s="4">
        <f t="shared" si="54"/>
        <v>2.5303977116819993</v>
      </c>
      <c r="R187" s="4">
        <f t="shared" si="54"/>
        <v>0</v>
      </c>
      <c r="S187" s="4">
        <f t="shared" si="54"/>
        <v>-2075.5832414094402</v>
      </c>
      <c r="T187" s="4">
        <f t="shared" si="54"/>
        <v>331.531059703361</v>
      </c>
      <c r="U187" s="4">
        <f t="shared" si="54"/>
        <v>0</v>
      </c>
      <c r="V187" s="4">
        <f t="shared" si="54"/>
        <v>1184.9272811064709</v>
      </c>
      <c r="X187" s="3">
        <f t="shared" si="35"/>
        <v>-3.3574602985391038</v>
      </c>
    </row>
    <row r="188" spans="1:24" x14ac:dyDescent="0.2">
      <c r="A188">
        <v>6005</v>
      </c>
      <c r="B188">
        <v>29</v>
      </c>
      <c r="C188" s="4">
        <f t="shared" ref="C188:V188" si="55">+(C147-C23)</f>
        <v>0</v>
      </c>
      <c r="D188" s="4">
        <f t="shared" si="55"/>
        <v>693.55435080299605</v>
      </c>
      <c r="E188" s="4">
        <f t="shared" si="55"/>
        <v>0</v>
      </c>
      <c r="F188" s="4">
        <f t="shared" si="55"/>
        <v>-171.456316878721</v>
      </c>
      <c r="G188" s="4">
        <f t="shared" si="55"/>
        <v>0</v>
      </c>
      <c r="H188" s="4">
        <f t="shared" si="55"/>
        <v>0</v>
      </c>
      <c r="I188" s="4">
        <f t="shared" si="55"/>
        <v>174.92980916205821</v>
      </c>
      <c r="J188" s="4">
        <f t="shared" si="55"/>
        <v>0</v>
      </c>
      <c r="K188" s="4">
        <f t="shared" si="55"/>
        <v>-335.65294916731102</v>
      </c>
      <c r="L188" s="4">
        <f t="shared" si="55"/>
        <v>0</v>
      </c>
      <c r="M188" s="4">
        <f t="shared" si="55"/>
        <v>-3850.6201426982902</v>
      </c>
      <c r="N188" s="4">
        <f t="shared" si="55"/>
        <v>0</v>
      </c>
      <c r="O188" s="4">
        <f t="shared" si="55"/>
        <v>516.85890494213254</v>
      </c>
      <c r="P188" s="4">
        <f t="shared" si="55"/>
        <v>-114.99233144149503</v>
      </c>
      <c r="Q188" s="4">
        <f t="shared" si="55"/>
        <v>2.5303977116819993</v>
      </c>
      <c r="R188" s="4">
        <f t="shared" si="55"/>
        <v>0</v>
      </c>
      <c r="S188" s="4">
        <f t="shared" si="55"/>
        <v>-2243.5106209916999</v>
      </c>
      <c r="T188" s="4">
        <f t="shared" si="55"/>
        <v>340.69781532187005</v>
      </c>
      <c r="U188" s="4">
        <f t="shared" si="55"/>
        <v>0</v>
      </c>
      <c r="V188" s="4">
        <f t="shared" si="55"/>
        <v>1158.946731338496</v>
      </c>
      <c r="X188" s="3">
        <f t="shared" si="35"/>
        <v>-3.8287143518982831</v>
      </c>
    </row>
    <row r="189" spans="1:24" x14ac:dyDescent="0.2">
      <c r="A189">
        <v>6005</v>
      </c>
      <c r="B189">
        <v>30</v>
      </c>
      <c r="C189" s="4">
        <f t="shared" ref="C189:V189" si="56">+(C148-C24)</f>
        <v>0</v>
      </c>
      <c r="D189" s="4">
        <f t="shared" si="56"/>
        <v>736.46840625542904</v>
      </c>
      <c r="E189" s="4">
        <f t="shared" si="56"/>
        <v>0</v>
      </c>
      <c r="F189" s="4">
        <f t="shared" si="56"/>
        <v>-202.96361753518005</v>
      </c>
      <c r="G189" s="4">
        <f t="shared" si="56"/>
        <v>0</v>
      </c>
      <c r="H189" s="4">
        <f t="shared" si="56"/>
        <v>0</v>
      </c>
      <c r="I189" s="4">
        <f t="shared" si="56"/>
        <v>190.159080807626</v>
      </c>
      <c r="J189" s="4">
        <f t="shared" si="56"/>
        <v>0</v>
      </c>
      <c r="K189" s="4">
        <f t="shared" si="56"/>
        <v>-357.82705223630199</v>
      </c>
      <c r="L189" s="4">
        <f t="shared" si="56"/>
        <v>0</v>
      </c>
      <c r="M189" s="4">
        <f t="shared" si="56"/>
        <v>-4203.2559069607905</v>
      </c>
      <c r="N189" s="4">
        <f t="shared" si="56"/>
        <v>0</v>
      </c>
      <c r="O189" s="4">
        <f t="shared" si="56"/>
        <v>570.38848168301922</v>
      </c>
      <c r="P189" s="4">
        <f t="shared" si="56"/>
        <v>-125.65244359664507</v>
      </c>
      <c r="Q189" s="4">
        <f t="shared" si="56"/>
        <v>9.178184419027005</v>
      </c>
      <c r="R189" s="4">
        <f t="shared" si="56"/>
        <v>0</v>
      </c>
      <c r="S189" s="4">
        <f t="shared" si="56"/>
        <v>-2421.9659976740213</v>
      </c>
      <c r="T189" s="4">
        <f t="shared" si="56"/>
        <v>354.71432801766701</v>
      </c>
      <c r="U189" s="4">
        <f t="shared" si="56"/>
        <v>0</v>
      </c>
      <c r="V189" s="4">
        <f t="shared" si="56"/>
        <v>1253.1789519901379</v>
      </c>
      <c r="X189" s="3">
        <f t="shared" si="35"/>
        <v>-4.1975775848300341</v>
      </c>
    </row>
    <row r="190" spans="1:24" x14ac:dyDescent="0.2">
      <c r="A190">
        <v>6005</v>
      </c>
      <c r="B190">
        <v>31</v>
      </c>
      <c r="C190" s="4">
        <f t="shared" ref="C190:V190" si="57">+(C149-C25)</f>
        <v>0</v>
      </c>
      <c r="D190" s="4">
        <f t="shared" si="57"/>
        <v>784.49667298749705</v>
      </c>
      <c r="E190" s="4">
        <f t="shared" si="57"/>
        <v>0</v>
      </c>
      <c r="F190" s="4">
        <f t="shared" si="57"/>
        <v>-233.74184203420799</v>
      </c>
      <c r="G190" s="4">
        <f t="shared" si="57"/>
        <v>0</v>
      </c>
      <c r="H190" s="4">
        <f t="shared" si="57"/>
        <v>0</v>
      </c>
      <c r="I190" s="4">
        <f t="shared" si="57"/>
        <v>205.8728760906493</v>
      </c>
      <c r="J190" s="4">
        <f t="shared" si="57"/>
        <v>0</v>
      </c>
      <c r="K190" s="4">
        <f t="shared" si="57"/>
        <v>-380.633157794672</v>
      </c>
      <c r="L190" s="4">
        <f t="shared" si="57"/>
        <v>0</v>
      </c>
      <c r="M190" s="4">
        <f t="shared" si="57"/>
        <v>-4540.4274068428203</v>
      </c>
      <c r="N190" s="4">
        <f t="shared" si="57"/>
        <v>0</v>
      </c>
      <c r="O190" s="4">
        <f t="shared" si="57"/>
        <v>594.08756439851754</v>
      </c>
      <c r="P190" s="4">
        <f t="shared" si="57"/>
        <v>-132.51587818603207</v>
      </c>
      <c r="Q190" s="4">
        <f t="shared" si="57"/>
        <v>16.112655065562009</v>
      </c>
      <c r="R190" s="4">
        <f t="shared" si="57"/>
        <v>0</v>
      </c>
      <c r="S190" s="4">
        <f t="shared" si="57"/>
        <v>-2604.44653270769</v>
      </c>
      <c r="T190" s="4">
        <f t="shared" si="57"/>
        <v>371.70914146142195</v>
      </c>
      <c r="U190" s="4">
        <f t="shared" si="57"/>
        <v>0</v>
      </c>
      <c r="V190" s="4">
        <f t="shared" si="57"/>
        <v>1202.533619945654</v>
      </c>
      <c r="X190" s="3">
        <f t="shared" si="35"/>
        <v>-4.7169522876161212</v>
      </c>
    </row>
    <row r="191" spans="1:24" x14ac:dyDescent="0.2">
      <c r="A191">
        <v>6005</v>
      </c>
      <c r="B191">
        <v>32</v>
      </c>
      <c r="C191" s="4">
        <f t="shared" ref="C191:V191" si="58">+(C150-C26)</f>
        <v>0</v>
      </c>
      <c r="D191" s="4">
        <f t="shared" si="58"/>
        <v>851.16401575002897</v>
      </c>
      <c r="E191" s="4">
        <f t="shared" si="58"/>
        <v>0</v>
      </c>
      <c r="F191" s="4">
        <f t="shared" si="58"/>
        <v>-263.73269121362904</v>
      </c>
      <c r="G191" s="4">
        <f t="shared" si="58"/>
        <v>0</v>
      </c>
      <c r="H191" s="4">
        <f t="shared" si="58"/>
        <v>0</v>
      </c>
      <c r="I191" s="4">
        <f t="shared" si="58"/>
        <v>222.46263180341299</v>
      </c>
      <c r="J191" s="4">
        <f t="shared" si="58"/>
        <v>0</v>
      </c>
      <c r="K191" s="4">
        <f t="shared" si="58"/>
        <v>-404.11572172900298</v>
      </c>
      <c r="L191" s="4">
        <f t="shared" si="58"/>
        <v>0</v>
      </c>
      <c r="M191" s="4">
        <f t="shared" si="58"/>
        <v>-4890.6549439599403</v>
      </c>
      <c r="N191" s="4">
        <f t="shared" si="58"/>
        <v>0</v>
      </c>
      <c r="O191" s="4">
        <f t="shared" si="58"/>
        <v>614.21523578828464</v>
      </c>
      <c r="P191" s="4">
        <f t="shared" si="58"/>
        <v>-139.68393155774606</v>
      </c>
      <c r="Q191" s="4">
        <f t="shared" si="58"/>
        <v>17.895857291745003</v>
      </c>
      <c r="R191" s="4">
        <f t="shared" si="58"/>
        <v>0</v>
      </c>
      <c r="S191" s="4">
        <f t="shared" si="58"/>
        <v>-2797.9553771923938</v>
      </c>
      <c r="T191" s="4">
        <f t="shared" si="58"/>
        <v>393.87256654877399</v>
      </c>
      <c r="U191" s="4">
        <f t="shared" si="58"/>
        <v>0</v>
      </c>
      <c r="V191" s="4">
        <f t="shared" si="58"/>
        <v>1179.0464824351989</v>
      </c>
      <c r="X191" s="3">
        <f t="shared" si="35"/>
        <v>-5.2174858760352665</v>
      </c>
    </row>
    <row r="192" spans="1:24" x14ac:dyDescent="0.2">
      <c r="A192">
        <v>6005</v>
      </c>
      <c r="B192">
        <v>33</v>
      </c>
      <c r="C192" s="4">
        <f t="shared" ref="C192:V192" si="59">+(C151-C27)</f>
        <v>0</v>
      </c>
      <c r="D192" s="4">
        <f t="shared" si="59"/>
        <v>898.04590647720897</v>
      </c>
      <c r="E192" s="4">
        <f t="shared" si="59"/>
        <v>0</v>
      </c>
      <c r="F192" s="4">
        <f t="shared" si="59"/>
        <v>-292.931432346181</v>
      </c>
      <c r="G192" s="4">
        <f t="shared" si="59"/>
        <v>0</v>
      </c>
      <c r="H192" s="4">
        <f t="shared" si="59"/>
        <v>0</v>
      </c>
      <c r="I192" s="4">
        <f t="shared" si="59"/>
        <v>240.27933111092872</v>
      </c>
      <c r="J192" s="4">
        <f t="shared" si="59"/>
        <v>0</v>
      </c>
      <c r="K192" s="4">
        <f t="shared" si="59"/>
        <v>-428.22353639519702</v>
      </c>
      <c r="L192" s="4">
        <f t="shared" si="59"/>
        <v>0</v>
      </c>
      <c r="M192" s="4">
        <f t="shared" si="59"/>
        <v>-5275.5720468373602</v>
      </c>
      <c r="N192" s="4">
        <f t="shared" si="59"/>
        <v>0</v>
      </c>
      <c r="O192" s="4">
        <f t="shared" si="59"/>
        <v>638.469639854192</v>
      </c>
      <c r="P192" s="4">
        <f t="shared" si="59"/>
        <v>-146.47765620897599</v>
      </c>
      <c r="Q192" s="4">
        <f t="shared" si="59"/>
        <v>17.895857291745003</v>
      </c>
      <c r="R192" s="4">
        <f t="shared" si="59"/>
        <v>0</v>
      </c>
      <c r="S192" s="4">
        <f t="shared" si="59"/>
        <v>-2982.7765498643412</v>
      </c>
      <c r="T192" s="4">
        <f t="shared" si="59"/>
        <v>416.15775825753002</v>
      </c>
      <c r="U192" s="4">
        <f t="shared" si="59"/>
        <v>0</v>
      </c>
      <c r="V192" s="4">
        <f t="shared" si="59"/>
        <v>1234.223379325063</v>
      </c>
      <c r="X192" s="3">
        <f t="shared" si="35"/>
        <v>-5.6809093493353879</v>
      </c>
    </row>
    <row r="193" spans="1:24" x14ac:dyDescent="0.2">
      <c r="A193">
        <v>6005</v>
      </c>
      <c r="B193">
        <v>34</v>
      </c>
      <c r="C193" s="4">
        <f t="shared" ref="C193:V193" si="60">+(C152-C28)</f>
        <v>0</v>
      </c>
      <c r="D193" s="4">
        <f t="shared" si="60"/>
        <v>900.94200657370504</v>
      </c>
      <c r="E193" s="4">
        <f t="shared" si="60"/>
        <v>0</v>
      </c>
      <c r="F193" s="4">
        <f t="shared" si="60"/>
        <v>-321.35269732203</v>
      </c>
      <c r="G193" s="4">
        <f t="shared" si="60"/>
        <v>0</v>
      </c>
      <c r="H193" s="4">
        <f t="shared" si="60"/>
        <v>0</v>
      </c>
      <c r="I193" s="4">
        <f t="shared" si="60"/>
        <v>257.70961678987942</v>
      </c>
      <c r="J193" s="4">
        <f t="shared" si="60"/>
        <v>0</v>
      </c>
      <c r="K193" s="4">
        <f t="shared" si="60"/>
        <v>-452.85271606068977</v>
      </c>
      <c r="L193" s="4">
        <f t="shared" si="60"/>
        <v>0</v>
      </c>
      <c r="M193" s="4">
        <f t="shared" si="60"/>
        <v>-5653.5842339767769</v>
      </c>
      <c r="N193" s="4">
        <f t="shared" si="60"/>
        <v>0</v>
      </c>
      <c r="O193" s="4">
        <f t="shared" si="60"/>
        <v>675.74594772204534</v>
      </c>
      <c r="P193" s="4">
        <f t="shared" si="60"/>
        <v>-153.19611528588405</v>
      </c>
      <c r="Q193" s="4">
        <f t="shared" si="60"/>
        <v>17.895857291745003</v>
      </c>
      <c r="R193" s="4">
        <f t="shared" si="60"/>
        <v>0</v>
      </c>
      <c r="S193" s="4">
        <f t="shared" si="60"/>
        <v>-3184.579762896683</v>
      </c>
      <c r="T193" s="4">
        <f t="shared" si="60"/>
        <v>437.822522564574</v>
      </c>
      <c r="U193" s="4">
        <f t="shared" si="60"/>
        <v>0</v>
      </c>
      <c r="V193" s="4">
        <f t="shared" si="60"/>
        <v>1262.3017567497661</v>
      </c>
      <c r="X193" s="3">
        <f t="shared" si="35"/>
        <v>-6.2131478178503485</v>
      </c>
    </row>
    <row r="194" spans="1:24" x14ac:dyDescent="0.2">
      <c r="A194">
        <v>6005</v>
      </c>
      <c r="B194">
        <v>35</v>
      </c>
      <c r="C194" s="4">
        <f t="shared" ref="C194:V194" si="61">+(C153-C29)</f>
        <v>0</v>
      </c>
      <c r="D194" s="4">
        <f t="shared" si="61"/>
        <v>968.80617842370998</v>
      </c>
      <c r="E194" s="4">
        <f t="shared" si="61"/>
        <v>0</v>
      </c>
      <c r="F194" s="4">
        <f t="shared" si="61"/>
        <v>-348.98710313415796</v>
      </c>
      <c r="G194" s="4">
        <f t="shared" si="61"/>
        <v>0</v>
      </c>
      <c r="H194" s="4">
        <f t="shared" si="61"/>
        <v>0</v>
      </c>
      <c r="I194" s="4">
        <f t="shared" si="61"/>
        <v>274.54454261374082</v>
      </c>
      <c r="J194" s="4">
        <f t="shared" si="61"/>
        <v>0</v>
      </c>
      <c r="K194" s="4">
        <f t="shared" si="61"/>
        <v>-478.20045139163943</v>
      </c>
      <c r="L194" s="4">
        <f t="shared" si="61"/>
        <v>0</v>
      </c>
      <c r="M194" s="4">
        <f t="shared" si="61"/>
        <v>-6074.1179391538853</v>
      </c>
      <c r="N194" s="4">
        <f t="shared" si="61"/>
        <v>0</v>
      </c>
      <c r="O194" s="4">
        <f t="shared" si="61"/>
        <v>709.73746350135514</v>
      </c>
      <c r="P194" s="4">
        <f t="shared" si="61"/>
        <v>-159.91150431477303</v>
      </c>
      <c r="Q194" s="4">
        <f t="shared" si="61"/>
        <v>18.132093487329001</v>
      </c>
      <c r="R194" s="4">
        <f t="shared" si="61"/>
        <v>0</v>
      </c>
      <c r="S194" s="4">
        <f t="shared" si="61"/>
        <v>-3379.6197338682168</v>
      </c>
      <c r="T194" s="4">
        <f t="shared" si="61"/>
        <v>455.58718025329398</v>
      </c>
      <c r="U194" s="4">
        <f t="shared" si="61"/>
        <v>0</v>
      </c>
      <c r="V194" s="4">
        <f t="shared" si="61"/>
        <v>1297.471473675304</v>
      </c>
      <c r="X194" s="3">
        <f t="shared" si="35"/>
        <v>-6.7165577999079398</v>
      </c>
    </row>
    <row r="195" spans="1:24" x14ac:dyDescent="0.2">
      <c r="A195">
        <v>6005</v>
      </c>
      <c r="B195">
        <v>36</v>
      </c>
      <c r="C195" s="4">
        <f t="shared" ref="C195:V195" si="62">+(C154-C30)</f>
        <v>0</v>
      </c>
      <c r="D195" s="4">
        <f t="shared" si="62"/>
        <v>1013.33815898812</v>
      </c>
      <c r="E195" s="4">
        <f t="shared" si="62"/>
        <v>0</v>
      </c>
      <c r="F195" s="4">
        <f t="shared" si="62"/>
        <v>-389.09327673196998</v>
      </c>
      <c r="G195" s="4">
        <f t="shared" si="62"/>
        <v>0</v>
      </c>
      <c r="H195" s="4">
        <f t="shared" si="62"/>
        <v>0</v>
      </c>
      <c r="I195" s="4">
        <f t="shared" si="62"/>
        <v>292.39422137887948</v>
      </c>
      <c r="J195" s="4">
        <f t="shared" si="62"/>
        <v>0</v>
      </c>
      <c r="K195" s="4">
        <f t="shared" si="62"/>
        <v>-505.11361959238195</v>
      </c>
      <c r="L195" s="4">
        <f t="shared" si="62"/>
        <v>0</v>
      </c>
      <c r="M195" s="4">
        <f t="shared" si="62"/>
        <v>-6490.9329818455972</v>
      </c>
      <c r="N195" s="4">
        <f t="shared" si="62"/>
        <v>0</v>
      </c>
      <c r="O195" s="4">
        <f t="shared" si="62"/>
        <v>753.36418582129511</v>
      </c>
      <c r="P195" s="4">
        <f t="shared" si="62"/>
        <v>-170.32583018963896</v>
      </c>
      <c r="Q195" s="4">
        <f t="shared" si="62"/>
        <v>19.874474917038</v>
      </c>
      <c r="R195" s="4">
        <f t="shared" si="62"/>
        <v>0</v>
      </c>
      <c r="S195" s="4">
        <f t="shared" si="62"/>
        <v>-3584.4622703865348</v>
      </c>
      <c r="T195" s="4">
        <f t="shared" si="62"/>
        <v>484.49750105978796</v>
      </c>
      <c r="U195" s="4">
        <f t="shared" si="62"/>
        <v>0</v>
      </c>
      <c r="V195" s="4">
        <f t="shared" si="62"/>
        <v>1374.0063344098348</v>
      </c>
      <c r="X195" s="3">
        <f t="shared" si="35"/>
        <v>-7.2024531021711686</v>
      </c>
    </row>
    <row r="196" spans="1:24" x14ac:dyDescent="0.2">
      <c r="A196">
        <v>6005</v>
      </c>
      <c r="B196">
        <v>37</v>
      </c>
      <c r="C196" s="4">
        <f t="shared" ref="C196:V196" si="63">+(C155-C31)</f>
        <v>0</v>
      </c>
      <c r="D196" s="4">
        <f t="shared" si="63"/>
        <v>1034.0460462910501</v>
      </c>
      <c r="E196" s="4">
        <f t="shared" si="63"/>
        <v>0</v>
      </c>
      <c r="F196" s="4">
        <f t="shared" si="63"/>
        <v>-429.67058273523895</v>
      </c>
      <c r="G196" s="4">
        <f t="shared" si="63"/>
        <v>0</v>
      </c>
      <c r="H196" s="4">
        <f t="shared" si="63"/>
        <v>0</v>
      </c>
      <c r="I196" s="4">
        <f t="shared" si="63"/>
        <v>312.03898650791393</v>
      </c>
      <c r="J196" s="4">
        <f t="shared" si="63"/>
        <v>0</v>
      </c>
      <c r="K196" s="4">
        <f t="shared" si="63"/>
        <v>-532.39757847911312</v>
      </c>
      <c r="L196" s="4">
        <f t="shared" si="63"/>
        <v>0</v>
      </c>
      <c r="M196" s="4">
        <f t="shared" si="63"/>
        <v>-6918.7724417381296</v>
      </c>
      <c r="N196" s="4">
        <f t="shared" si="63"/>
        <v>0</v>
      </c>
      <c r="O196" s="4">
        <f t="shared" si="63"/>
        <v>786.00437900973429</v>
      </c>
      <c r="P196" s="4">
        <f t="shared" si="63"/>
        <v>-180.86657484223593</v>
      </c>
      <c r="Q196" s="4">
        <f t="shared" si="63"/>
        <v>25.233231705757007</v>
      </c>
      <c r="R196" s="4">
        <f t="shared" si="63"/>
        <v>0</v>
      </c>
      <c r="S196" s="4">
        <f t="shared" si="63"/>
        <v>-3800.0668711017302</v>
      </c>
      <c r="T196" s="4">
        <f t="shared" si="63"/>
        <v>514.594053119725</v>
      </c>
      <c r="U196" s="4">
        <f t="shared" si="63"/>
        <v>0</v>
      </c>
      <c r="V196" s="4">
        <f t="shared" si="63"/>
        <v>1515.78073823523</v>
      </c>
      <c r="X196" s="3">
        <f t="shared" si="35"/>
        <v>-7.6740766140270376</v>
      </c>
    </row>
    <row r="197" spans="1:24" x14ac:dyDescent="0.2">
      <c r="A197">
        <v>6005</v>
      </c>
      <c r="B197">
        <v>38</v>
      </c>
      <c r="C197" s="4">
        <f t="shared" ref="C197:V197" si="64">+(C156-C32)</f>
        <v>0</v>
      </c>
      <c r="D197" s="4">
        <f t="shared" si="64"/>
        <v>1034.0460462910501</v>
      </c>
      <c r="E197" s="4">
        <f t="shared" si="64"/>
        <v>0</v>
      </c>
      <c r="F197" s="4">
        <f t="shared" si="64"/>
        <v>-470.59849219329504</v>
      </c>
      <c r="G197" s="4">
        <f t="shared" si="64"/>
        <v>0</v>
      </c>
      <c r="H197" s="4">
        <f t="shared" si="64"/>
        <v>0</v>
      </c>
      <c r="I197" s="4">
        <f t="shared" si="64"/>
        <v>330.89161323093577</v>
      </c>
      <c r="J197" s="4">
        <f t="shared" si="64"/>
        <v>0</v>
      </c>
      <c r="K197" s="4">
        <f t="shared" si="64"/>
        <v>-559.89397827318578</v>
      </c>
      <c r="L197" s="4">
        <f t="shared" si="64"/>
        <v>0</v>
      </c>
      <c r="M197" s="4">
        <f t="shared" si="64"/>
        <v>-7365.4473998017074</v>
      </c>
      <c r="N197" s="4">
        <f t="shared" si="64"/>
        <v>0</v>
      </c>
      <c r="O197" s="4">
        <f t="shared" si="64"/>
        <v>817.66226118738621</v>
      </c>
      <c r="P197" s="4">
        <f t="shared" si="64"/>
        <v>-191.45766318750799</v>
      </c>
      <c r="Q197" s="4">
        <f t="shared" si="64"/>
        <v>25.233231705757007</v>
      </c>
      <c r="R197" s="4">
        <f t="shared" si="64"/>
        <v>0</v>
      </c>
      <c r="S197" s="4">
        <f t="shared" si="64"/>
        <v>-4009.6375648326457</v>
      </c>
      <c r="T197" s="4">
        <f t="shared" si="64"/>
        <v>558.53466629732998</v>
      </c>
      <c r="U197" s="4">
        <f t="shared" si="64"/>
        <v>0</v>
      </c>
      <c r="V197" s="4">
        <f t="shared" si="64"/>
        <v>1894.7721955262462</v>
      </c>
      <c r="X197" s="3">
        <f t="shared" si="35"/>
        <v>-7.9358950840496378</v>
      </c>
    </row>
    <row r="198" spans="1:24" x14ac:dyDescent="0.2">
      <c r="A198">
        <v>6005</v>
      </c>
      <c r="B198">
        <v>39</v>
      </c>
      <c r="C198" s="4">
        <f t="shared" ref="C198:V198" si="65">+(C157-C33)</f>
        <v>0</v>
      </c>
      <c r="D198" s="4">
        <f t="shared" si="65"/>
        <v>1064.7744947050701</v>
      </c>
      <c r="E198" s="4">
        <f t="shared" si="65"/>
        <v>0</v>
      </c>
      <c r="F198" s="4">
        <f t="shared" si="65"/>
        <v>-511.85234401691997</v>
      </c>
      <c r="G198" s="4">
        <f t="shared" si="65"/>
        <v>0</v>
      </c>
      <c r="H198" s="4">
        <f t="shared" si="65"/>
        <v>0</v>
      </c>
      <c r="I198" s="4">
        <f t="shared" si="65"/>
        <v>350.18864878116688</v>
      </c>
      <c r="J198" s="4">
        <f t="shared" si="65"/>
        <v>0</v>
      </c>
      <c r="K198" s="4">
        <f t="shared" si="65"/>
        <v>-574.73770493363577</v>
      </c>
      <c r="L198" s="4">
        <f t="shared" si="65"/>
        <v>0</v>
      </c>
      <c r="M198" s="4">
        <f t="shared" si="65"/>
        <v>-7606.2717476972466</v>
      </c>
      <c r="N198" s="4">
        <f t="shared" si="65"/>
        <v>0</v>
      </c>
      <c r="O198" s="4">
        <f t="shared" si="65"/>
        <v>847.96307947907826</v>
      </c>
      <c r="P198" s="4">
        <f t="shared" si="65"/>
        <v>-191.45766318750799</v>
      </c>
      <c r="Q198" s="4">
        <f t="shared" si="65"/>
        <v>25.233231705757007</v>
      </c>
      <c r="R198" s="4">
        <f t="shared" si="65"/>
        <v>0</v>
      </c>
      <c r="S198" s="4">
        <f t="shared" si="65"/>
        <v>-4107.4549602368961</v>
      </c>
      <c r="T198" s="4">
        <f t="shared" si="65"/>
        <v>612.44722095121301</v>
      </c>
      <c r="U198" s="4">
        <f t="shared" si="65"/>
        <v>0</v>
      </c>
      <c r="V198" s="4">
        <f t="shared" si="65"/>
        <v>1826.8665323864611</v>
      </c>
      <c r="X198" s="3">
        <f t="shared" si="35"/>
        <v>-8.2643012120634616</v>
      </c>
    </row>
    <row r="199" spans="1:24" x14ac:dyDescent="0.2">
      <c r="A199">
        <v>6005</v>
      </c>
      <c r="B199">
        <v>40</v>
      </c>
      <c r="C199" s="4">
        <f t="shared" ref="C199:V199" si="66">+(C158-C34)</f>
        <v>0</v>
      </c>
      <c r="D199" s="4">
        <f t="shared" si="66"/>
        <v>1092.23552737415</v>
      </c>
      <c r="E199" s="4">
        <f t="shared" si="66"/>
        <v>0</v>
      </c>
      <c r="F199" s="4">
        <f t="shared" si="66"/>
        <v>-553.30439744889691</v>
      </c>
      <c r="G199" s="4">
        <f t="shared" si="66"/>
        <v>0</v>
      </c>
      <c r="H199" s="4">
        <f t="shared" si="66"/>
        <v>0</v>
      </c>
      <c r="I199" s="4">
        <f t="shared" si="66"/>
        <v>369.89127765818159</v>
      </c>
      <c r="J199" s="4">
        <f t="shared" si="66"/>
        <v>0</v>
      </c>
      <c r="K199" s="4">
        <f t="shared" si="66"/>
        <v>-589.52725721419381</v>
      </c>
      <c r="L199" s="4">
        <f t="shared" si="66"/>
        <v>0</v>
      </c>
      <c r="M199" s="4">
        <f t="shared" si="66"/>
        <v>-7849.3186491388569</v>
      </c>
      <c r="N199" s="4">
        <f t="shared" si="66"/>
        <v>0</v>
      </c>
      <c r="O199" s="4">
        <f t="shared" si="66"/>
        <v>876.99661414560705</v>
      </c>
      <c r="P199" s="4">
        <f t="shared" si="66"/>
        <v>-191.45766318750799</v>
      </c>
      <c r="Q199" s="4">
        <f t="shared" si="66"/>
        <v>25.233231705757007</v>
      </c>
      <c r="R199" s="4">
        <f t="shared" si="66"/>
        <v>0</v>
      </c>
      <c r="S199" s="4">
        <f t="shared" si="66"/>
        <v>-4212.3119557206728</v>
      </c>
      <c r="T199" s="4">
        <f t="shared" si="66"/>
        <v>665.77287556163697</v>
      </c>
      <c r="U199" s="4">
        <f t="shared" si="66"/>
        <v>0</v>
      </c>
      <c r="V199" s="4">
        <f t="shared" si="66"/>
        <v>1757.6765853197098</v>
      </c>
      <c r="X199" s="3">
        <f t="shared" si="35"/>
        <v>-8.608113810945083</v>
      </c>
    </row>
    <row r="200" spans="1:24" x14ac:dyDescent="0.2">
      <c r="A200">
        <v>6005</v>
      </c>
      <c r="B200">
        <v>41</v>
      </c>
      <c r="C200" s="4">
        <f t="shared" ref="C200:V200" si="67">+(C159-C35)</f>
        <v>0</v>
      </c>
      <c r="D200" s="4">
        <f t="shared" si="67"/>
        <v>1116.6516353672</v>
      </c>
      <c r="E200" s="4">
        <f t="shared" si="67"/>
        <v>0</v>
      </c>
      <c r="F200" s="4">
        <f t="shared" si="67"/>
        <v>-594.93309693267906</v>
      </c>
      <c r="G200" s="4">
        <f t="shared" si="67"/>
        <v>0</v>
      </c>
      <c r="H200" s="4">
        <f t="shared" si="67"/>
        <v>0</v>
      </c>
      <c r="I200" s="4">
        <f t="shared" si="67"/>
        <v>389.99701675380993</v>
      </c>
      <c r="J200" s="4">
        <f t="shared" si="67"/>
        <v>0</v>
      </c>
      <c r="K200" s="4">
        <f t="shared" si="67"/>
        <v>-607.33635039255273</v>
      </c>
      <c r="L200" s="4">
        <f t="shared" si="67"/>
        <v>0</v>
      </c>
      <c r="M200" s="4">
        <f t="shared" si="67"/>
        <v>-8094.2280786201773</v>
      </c>
      <c r="N200" s="4">
        <f t="shared" si="67"/>
        <v>0</v>
      </c>
      <c r="O200" s="4">
        <f t="shared" si="67"/>
        <v>904.63314667494285</v>
      </c>
      <c r="P200" s="4">
        <f t="shared" si="67"/>
        <v>-191.45766318750799</v>
      </c>
      <c r="Q200" s="4">
        <f t="shared" si="67"/>
        <v>25.233231705757007</v>
      </c>
      <c r="R200" s="4">
        <f t="shared" si="67"/>
        <v>0</v>
      </c>
      <c r="S200" s="4">
        <f t="shared" si="67"/>
        <v>-4309.5765919885125</v>
      </c>
      <c r="T200" s="4">
        <f t="shared" si="67"/>
        <v>718.69741584297299</v>
      </c>
      <c r="U200" s="4">
        <f t="shared" si="67"/>
        <v>0</v>
      </c>
      <c r="V200" s="4">
        <f t="shared" si="67"/>
        <v>1689.399813380594</v>
      </c>
      <c r="X200" s="3">
        <f t="shared" si="35"/>
        <v>-8.9529195213961543</v>
      </c>
    </row>
    <row r="201" spans="1:24" x14ac:dyDescent="0.2">
      <c r="A201">
        <v>6005</v>
      </c>
      <c r="B201">
        <v>42</v>
      </c>
      <c r="C201" s="4">
        <f t="shared" ref="C201:V201" si="68">+(C160-C36)</f>
        <v>0</v>
      </c>
      <c r="D201" s="4">
        <f t="shared" si="68"/>
        <v>1137.5522436369899</v>
      </c>
      <c r="E201" s="4">
        <f t="shared" si="68"/>
        <v>0</v>
      </c>
      <c r="F201" s="4">
        <f t="shared" si="68"/>
        <v>-636.77833281026301</v>
      </c>
      <c r="G201" s="4">
        <f t="shared" si="68"/>
        <v>0</v>
      </c>
      <c r="H201" s="4">
        <f t="shared" si="68"/>
        <v>0</v>
      </c>
      <c r="I201" s="4">
        <f t="shared" si="68"/>
        <v>410.52770734095066</v>
      </c>
      <c r="J201" s="4">
        <f t="shared" si="68"/>
        <v>0</v>
      </c>
      <c r="K201" s="4">
        <f t="shared" si="68"/>
        <v>-619.03925127023274</v>
      </c>
      <c r="L201" s="4">
        <f t="shared" si="68"/>
        <v>0</v>
      </c>
      <c r="M201" s="4">
        <f t="shared" si="68"/>
        <v>-8342.3569657379467</v>
      </c>
      <c r="N201" s="4">
        <f t="shared" si="68"/>
        <v>0</v>
      </c>
      <c r="O201" s="4">
        <f t="shared" si="68"/>
        <v>930.82023568746308</v>
      </c>
      <c r="P201" s="4">
        <f t="shared" si="68"/>
        <v>-191.45766318750799</v>
      </c>
      <c r="Q201" s="4">
        <f t="shared" si="68"/>
        <v>25.233231705757007</v>
      </c>
      <c r="R201" s="4">
        <f t="shared" si="68"/>
        <v>0</v>
      </c>
      <c r="S201" s="4">
        <f t="shared" si="68"/>
        <v>-4407.0324235104827</v>
      </c>
      <c r="T201" s="4">
        <f t="shared" si="68"/>
        <v>766.01668577623195</v>
      </c>
      <c r="U201" s="4">
        <f t="shared" si="68"/>
        <v>0</v>
      </c>
      <c r="V201" s="4">
        <f t="shared" si="68"/>
        <v>1616.169614495539</v>
      </c>
      <c r="X201" s="3">
        <f t="shared" si="35"/>
        <v>-9.3103449178735005</v>
      </c>
    </row>
    <row r="202" spans="1:24" x14ac:dyDescent="0.2">
      <c r="A202">
        <v>6005</v>
      </c>
      <c r="B202">
        <v>43</v>
      </c>
      <c r="C202" s="4">
        <f t="shared" ref="C202:V202" si="69">+(C161-C37)</f>
        <v>0</v>
      </c>
      <c r="D202" s="4">
        <f t="shared" si="69"/>
        <v>1154.3854392506701</v>
      </c>
      <c r="E202" s="4">
        <f t="shared" si="69"/>
        <v>0</v>
      </c>
      <c r="F202" s="4">
        <f t="shared" si="69"/>
        <v>-678.82130411056301</v>
      </c>
      <c r="G202" s="4">
        <f t="shared" si="69"/>
        <v>0</v>
      </c>
      <c r="H202" s="4">
        <f t="shared" si="69"/>
        <v>0</v>
      </c>
      <c r="I202" s="4">
        <f t="shared" si="69"/>
        <v>431.48550594923444</v>
      </c>
      <c r="J202" s="4">
        <f t="shared" si="69"/>
        <v>0</v>
      </c>
      <c r="K202" s="4">
        <f t="shared" si="69"/>
        <v>-633.83613722201278</v>
      </c>
      <c r="L202" s="4">
        <f t="shared" si="69"/>
        <v>0</v>
      </c>
      <c r="M202" s="4">
        <f t="shared" si="69"/>
        <v>-8593.4718475374775</v>
      </c>
      <c r="N202" s="4">
        <f t="shared" si="69"/>
        <v>0</v>
      </c>
      <c r="O202" s="4">
        <f t="shared" si="69"/>
        <v>955.43422295227265</v>
      </c>
      <c r="P202" s="4">
        <f t="shared" si="69"/>
        <v>-191.45766318750799</v>
      </c>
      <c r="Q202" s="4">
        <f t="shared" si="69"/>
        <v>25.233231705757007</v>
      </c>
      <c r="R202" s="4">
        <f t="shared" si="69"/>
        <v>0</v>
      </c>
      <c r="S202" s="4">
        <f t="shared" si="69"/>
        <v>-4504.714581921623</v>
      </c>
      <c r="T202" s="4">
        <f t="shared" si="69"/>
        <v>812.99781622441492</v>
      </c>
      <c r="U202" s="4">
        <f t="shared" si="69"/>
        <v>0</v>
      </c>
      <c r="V202" s="4">
        <f t="shared" si="69"/>
        <v>1544.221352448063</v>
      </c>
      <c r="X202" s="3">
        <f t="shared" si="35"/>
        <v>-9.678543965448771</v>
      </c>
    </row>
    <row r="203" spans="1:24" x14ac:dyDescent="0.2">
      <c r="A203">
        <v>6005</v>
      </c>
      <c r="B203">
        <v>44</v>
      </c>
      <c r="C203" s="4">
        <f t="shared" ref="C203:V203" si="70">+(C162-C38)</f>
        <v>0</v>
      </c>
      <c r="D203" s="4">
        <f t="shared" si="70"/>
        <v>1167.10824597085</v>
      </c>
      <c r="E203" s="4">
        <f t="shared" si="70"/>
        <v>0</v>
      </c>
      <c r="F203" s="4">
        <f t="shared" si="70"/>
        <v>-721.10693323913301</v>
      </c>
      <c r="G203" s="4">
        <f t="shared" si="70"/>
        <v>0</v>
      </c>
      <c r="H203" s="4">
        <f t="shared" si="70"/>
        <v>0</v>
      </c>
      <c r="I203" s="4">
        <f t="shared" si="70"/>
        <v>452.8994351516323</v>
      </c>
      <c r="J203" s="4">
        <f t="shared" si="70"/>
        <v>0</v>
      </c>
      <c r="K203" s="4">
        <f t="shared" si="70"/>
        <v>-652.73788330370974</v>
      </c>
      <c r="L203" s="4">
        <f t="shared" si="70"/>
        <v>0</v>
      </c>
      <c r="M203" s="4">
        <f t="shared" si="70"/>
        <v>-8848.4053581341777</v>
      </c>
      <c r="N203" s="4">
        <f t="shared" si="70"/>
        <v>0</v>
      </c>
      <c r="O203" s="4">
        <f t="shared" si="70"/>
        <v>979.22196637498052</v>
      </c>
      <c r="P203" s="4">
        <f t="shared" si="70"/>
        <v>-191.45766318750799</v>
      </c>
      <c r="Q203" s="4">
        <f t="shared" si="70"/>
        <v>25.233231705757007</v>
      </c>
      <c r="R203" s="4">
        <f t="shared" si="70"/>
        <v>0</v>
      </c>
      <c r="S203" s="4">
        <f t="shared" si="70"/>
        <v>-4603.0479662090829</v>
      </c>
      <c r="T203" s="4">
        <f t="shared" si="70"/>
        <v>860.50654861583189</v>
      </c>
      <c r="U203" s="4">
        <f t="shared" si="70"/>
        <v>0</v>
      </c>
      <c r="V203" s="4">
        <f t="shared" si="70"/>
        <v>1473.8186428436529</v>
      </c>
      <c r="X203" s="3">
        <f t="shared" si="35"/>
        <v>-10.057967733410909</v>
      </c>
    </row>
    <row r="204" spans="1:24" x14ac:dyDescent="0.2">
      <c r="A204">
        <v>6005</v>
      </c>
      <c r="B204">
        <v>45</v>
      </c>
      <c r="C204" s="4">
        <f t="shared" ref="C204:V204" si="71">+(C163-C39)</f>
        <v>0</v>
      </c>
      <c r="D204" s="4">
        <f t="shared" si="71"/>
        <v>1167.10824597085</v>
      </c>
      <c r="E204" s="4">
        <f t="shared" si="71"/>
        <v>0</v>
      </c>
      <c r="F204" s="4">
        <f t="shared" si="71"/>
        <v>-763.68716720553289</v>
      </c>
      <c r="G204" s="4">
        <f t="shared" si="71"/>
        <v>0</v>
      </c>
      <c r="H204" s="4">
        <f t="shared" si="71"/>
        <v>0</v>
      </c>
      <c r="I204" s="4">
        <f t="shared" si="71"/>
        <v>470.8809311315851</v>
      </c>
      <c r="J204" s="4">
        <f t="shared" si="71"/>
        <v>0</v>
      </c>
      <c r="K204" s="4">
        <f t="shared" si="71"/>
        <v>-663.78362865079475</v>
      </c>
      <c r="L204" s="4">
        <f t="shared" si="71"/>
        <v>0</v>
      </c>
      <c r="M204" s="4">
        <f t="shared" si="71"/>
        <v>-9108.484059719367</v>
      </c>
      <c r="N204" s="4">
        <f t="shared" si="71"/>
        <v>0</v>
      </c>
      <c r="O204" s="4">
        <f t="shared" si="71"/>
        <v>1127.7310856173372</v>
      </c>
      <c r="P204" s="4">
        <f t="shared" si="71"/>
        <v>-191.45766318750799</v>
      </c>
      <c r="Q204" s="4">
        <f t="shared" si="71"/>
        <v>25.233231705757007</v>
      </c>
      <c r="R204" s="4">
        <f t="shared" si="71"/>
        <v>0</v>
      </c>
      <c r="S204" s="4">
        <f t="shared" si="71"/>
        <v>-4702.470244254403</v>
      </c>
      <c r="T204" s="4">
        <f t="shared" si="71"/>
        <v>823.443355014497</v>
      </c>
      <c r="U204" s="4">
        <f t="shared" si="71"/>
        <v>0</v>
      </c>
      <c r="V204" s="4">
        <f t="shared" si="71"/>
        <v>1118.005577547294</v>
      </c>
      <c r="X204" s="3">
        <f t="shared" si="35"/>
        <v>-10.697480336030287</v>
      </c>
    </row>
    <row r="205" spans="1:24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X205" s="2"/>
    </row>
    <row r="206" spans="1:24" x14ac:dyDescent="0.2">
      <c r="C206" s="4">
        <f>+SUM(C167:C204)</f>
        <v>0</v>
      </c>
      <c r="D206" s="4">
        <f t="shared" ref="D206:V206" si="72">+SUM(D167:D204)</f>
        <v>21935.513975577582</v>
      </c>
      <c r="E206" s="4">
        <f t="shared" si="72"/>
        <v>0</v>
      </c>
      <c r="F206" s="4">
        <f t="shared" si="72"/>
        <v>-5917.4602513505724</v>
      </c>
      <c r="G206" s="4">
        <f t="shared" si="72"/>
        <v>0</v>
      </c>
      <c r="H206" s="4">
        <f t="shared" si="72"/>
        <v>0</v>
      </c>
      <c r="I206" s="4">
        <f t="shared" si="72"/>
        <v>6555.585387761028</v>
      </c>
      <c r="J206" s="4">
        <f t="shared" si="72"/>
        <v>-94.675994549693783</v>
      </c>
      <c r="K206" s="4">
        <f t="shared" si="72"/>
        <v>-10781.464294647785</v>
      </c>
      <c r="L206" s="4">
        <f t="shared" si="72"/>
        <v>0</v>
      </c>
      <c r="M206" s="4">
        <f>+SUM(M167:M204)</f>
        <v>-141289.8536371979</v>
      </c>
      <c r="N206" s="4">
        <f t="shared" si="72"/>
        <v>0</v>
      </c>
      <c r="O206" s="4">
        <f t="shared" si="72"/>
        <v>17621.736126552205</v>
      </c>
      <c r="P206" s="4">
        <f t="shared" si="72"/>
        <v>-3244.0434498721038</v>
      </c>
      <c r="Q206" s="4">
        <f t="shared" si="72"/>
        <v>379.2655616159343</v>
      </c>
      <c r="R206" s="4">
        <f t="shared" si="72"/>
        <v>0</v>
      </c>
      <c r="S206" s="4">
        <f t="shared" si="72"/>
        <v>-78438.725849741153</v>
      </c>
      <c r="T206" s="4">
        <f t="shared" si="72"/>
        <v>12875.283297487746</v>
      </c>
      <c r="U206" s="4">
        <f t="shared" si="72"/>
        <v>0</v>
      </c>
      <c r="V206" s="4">
        <f t="shared" si="72"/>
        <v>34767.553107432192</v>
      </c>
      <c r="W206" s="4"/>
      <c r="X206" s="8">
        <f>+SUM(X167:X204)</f>
        <v>-145.63128602093252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capex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2026-02-09T18:14:15Z</dcterms:created>
  <dcterms:modified xsi:type="dcterms:W3CDTF">2026-02-10T16:58:58Z</dcterms:modified>
</cp:coreProperties>
</file>