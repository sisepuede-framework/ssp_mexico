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abianfuentes/git/ssp_mexico/ssp_modeling/cost-benefits/output/"/>
    </mc:Choice>
  </mc:AlternateContent>
  <xr:revisionPtr revIDLastSave="0" documentId="13_ncr:1_{71BFF658-E993-224E-B66D-7BCD3FCF93BE}" xr6:coauthVersionLast="47" xr6:coauthVersionMax="47" xr10:uidLastSave="{00000000-0000-0000-0000-000000000000}"/>
  <bookViews>
    <workbookView xWindow="-39980" yWindow="-620" windowWidth="38400" windowHeight="18980" xr2:uid="{F22A3206-663C-EA4A-86F1-23370D98B302}"/>
  </bookViews>
  <sheets>
    <sheet name="capex" sheetId="2" r:id="rId1"/>
    <sheet name="opex" sheetId="5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83" i="2" l="1"/>
  <c r="X2" i="2"/>
  <c r="X3" i="2"/>
  <c r="X4" i="2"/>
  <c r="X5" i="2"/>
  <c r="X6" i="2"/>
  <c r="X7" i="2"/>
  <c r="X8" i="2"/>
  <c r="X9" i="2"/>
  <c r="X10" i="2"/>
  <c r="X11" i="2"/>
  <c r="X12" i="2"/>
  <c r="X13" i="2"/>
  <c r="X14" i="2"/>
  <c r="X15" i="2"/>
  <c r="X16" i="2"/>
  <c r="X17" i="2"/>
  <c r="X18" i="2"/>
  <c r="X19" i="2"/>
  <c r="X20" i="2"/>
  <c r="X21" i="2"/>
  <c r="X22" i="2"/>
  <c r="X23" i="2"/>
  <c r="X24" i="2"/>
  <c r="X25" i="2"/>
  <c r="X26" i="2"/>
  <c r="X27" i="2"/>
  <c r="X28" i="2"/>
  <c r="X29" i="2"/>
  <c r="X30" i="2"/>
  <c r="X31" i="2"/>
  <c r="X32" i="2"/>
  <c r="X33" i="2"/>
  <c r="X34" i="2"/>
  <c r="X35" i="2"/>
  <c r="X36" i="2"/>
  <c r="X37" i="2"/>
  <c r="X38" i="2"/>
  <c r="X39" i="2"/>
  <c r="V204" i="2"/>
  <c r="U204" i="2"/>
  <c r="T204" i="2"/>
  <c r="S204" i="2"/>
  <c r="R204" i="2"/>
  <c r="Q204" i="2"/>
  <c r="P204" i="2"/>
  <c r="O204" i="2"/>
  <c r="N204" i="2"/>
  <c r="M204" i="2"/>
  <c r="L204" i="2"/>
  <c r="K204" i="2"/>
  <c r="J204" i="2"/>
  <c r="I204" i="2"/>
  <c r="V203" i="2"/>
  <c r="U203" i="2"/>
  <c r="T203" i="2"/>
  <c r="S203" i="2"/>
  <c r="R203" i="2"/>
  <c r="Q203" i="2"/>
  <c r="P203" i="2"/>
  <c r="O203" i="2"/>
  <c r="N203" i="2"/>
  <c r="M203" i="2"/>
  <c r="L203" i="2"/>
  <c r="K203" i="2"/>
  <c r="J203" i="2"/>
  <c r="I203" i="2"/>
  <c r="V202" i="2"/>
  <c r="U202" i="2"/>
  <c r="T202" i="2"/>
  <c r="S202" i="2"/>
  <c r="R202" i="2"/>
  <c r="Q202" i="2"/>
  <c r="P202" i="2"/>
  <c r="O202" i="2"/>
  <c r="N202" i="2"/>
  <c r="M202" i="2"/>
  <c r="L202" i="2"/>
  <c r="K202" i="2"/>
  <c r="J202" i="2"/>
  <c r="I202" i="2"/>
  <c r="V201" i="2"/>
  <c r="U201" i="2"/>
  <c r="T201" i="2"/>
  <c r="S201" i="2"/>
  <c r="R201" i="2"/>
  <c r="Q201" i="2"/>
  <c r="P201" i="2"/>
  <c r="O201" i="2"/>
  <c r="N201" i="2"/>
  <c r="M201" i="2"/>
  <c r="L201" i="2"/>
  <c r="K201" i="2"/>
  <c r="J201" i="2"/>
  <c r="I201" i="2"/>
  <c r="V200" i="2"/>
  <c r="U200" i="2"/>
  <c r="T200" i="2"/>
  <c r="S200" i="2"/>
  <c r="R200" i="2"/>
  <c r="Q200" i="2"/>
  <c r="P200" i="2"/>
  <c r="O200" i="2"/>
  <c r="N200" i="2"/>
  <c r="M200" i="2"/>
  <c r="L200" i="2"/>
  <c r="K200" i="2"/>
  <c r="J200" i="2"/>
  <c r="I200" i="2"/>
  <c r="V199" i="2"/>
  <c r="U199" i="2"/>
  <c r="T199" i="2"/>
  <c r="S199" i="2"/>
  <c r="R199" i="2"/>
  <c r="Q199" i="2"/>
  <c r="P199" i="2"/>
  <c r="O199" i="2"/>
  <c r="N199" i="2"/>
  <c r="M199" i="2"/>
  <c r="L199" i="2"/>
  <c r="K199" i="2"/>
  <c r="J199" i="2"/>
  <c r="I199" i="2"/>
  <c r="V198" i="2"/>
  <c r="U198" i="2"/>
  <c r="T198" i="2"/>
  <c r="S198" i="2"/>
  <c r="R198" i="2"/>
  <c r="Q198" i="2"/>
  <c r="P198" i="2"/>
  <c r="O198" i="2"/>
  <c r="N198" i="2"/>
  <c r="M198" i="2"/>
  <c r="L198" i="2"/>
  <c r="K198" i="2"/>
  <c r="J198" i="2"/>
  <c r="I198" i="2"/>
  <c r="V197" i="2"/>
  <c r="U197" i="2"/>
  <c r="T197" i="2"/>
  <c r="S197" i="2"/>
  <c r="R197" i="2"/>
  <c r="Q197" i="2"/>
  <c r="P197" i="2"/>
  <c r="O197" i="2"/>
  <c r="N197" i="2"/>
  <c r="M197" i="2"/>
  <c r="L197" i="2"/>
  <c r="K197" i="2"/>
  <c r="J197" i="2"/>
  <c r="I197" i="2"/>
  <c r="V196" i="2"/>
  <c r="U196" i="2"/>
  <c r="T196" i="2"/>
  <c r="S196" i="2"/>
  <c r="R196" i="2"/>
  <c r="Q196" i="2"/>
  <c r="P196" i="2"/>
  <c r="O196" i="2"/>
  <c r="N196" i="2"/>
  <c r="M196" i="2"/>
  <c r="L196" i="2"/>
  <c r="K196" i="2"/>
  <c r="J196" i="2"/>
  <c r="I196" i="2"/>
  <c r="V195" i="2"/>
  <c r="U195" i="2"/>
  <c r="T195" i="2"/>
  <c r="S195" i="2"/>
  <c r="R195" i="2"/>
  <c r="Q195" i="2"/>
  <c r="P195" i="2"/>
  <c r="O195" i="2"/>
  <c r="N195" i="2"/>
  <c r="M195" i="2"/>
  <c r="L195" i="2"/>
  <c r="K195" i="2"/>
  <c r="J195" i="2"/>
  <c r="I195" i="2"/>
  <c r="V194" i="2"/>
  <c r="U194" i="2"/>
  <c r="T194" i="2"/>
  <c r="S194" i="2"/>
  <c r="R194" i="2"/>
  <c r="Q194" i="2"/>
  <c r="P194" i="2"/>
  <c r="O194" i="2"/>
  <c r="N194" i="2"/>
  <c r="M194" i="2"/>
  <c r="L194" i="2"/>
  <c r="K194" i="2"/>
  <c r="J194" i="2"/>
  <c r="I194" i="2"/>
  <c r="V193" i="2"/>
  <c r="U193" i="2"/>
  <c r="T193" i="2"/>
  <c r="S193" i="2"/>
  <c r="R193" i="2"/>
  <c r="Q193" i="2"/>
  <c r="P193" i="2"/>
  <c r="O193" i="2"/>
  <c r="N193" i="2"/>
  <c r="M193" i="2"/>
  <c r="L193" i="2"/>
  <c r="K193" i="2"/>
  <c r="J193" i="2"/>
  <c r="I193" i="2"/>
  <c r="V192" i="2"/>
  <c r="U192" i="2"/>
  <c r="T192" i="2"/>
  <c r="S192" i="2"/>
  <c r="R192" i="2"/>
  <c r="Q192" i="2"/>
  <c r="P192" i="2"/>
  <c r="O192" i="2"/>
  <c r="N192" i="2"/>
  <c r="M192" i="2"/>
  <c r="L192" i="2"/>
  <c r="K192" i="2"/>
  <c r="J192" i="2"/>
  <c r="I192" i="2"/>
  <c r="V191" i="2"/>
  <c r="U191" i="2"/>
  <c r="T191" i="2"/>
  <c r="S191" i="2"/>
  <c r="R191" i="2"/>
  <c r="Q191" i="2"/>
  <c r="P191" i="2"/>
  <c r="O191" i="2"/>
  <c r="N191" i="2"/>
  <c r="M191" i="2"/>
  <c r="L191" i="2"/>
  <c r="K191" i="2"/>
  <c r="J191" i="2"/>
  <c r="I191" i="2"/>
  <c r="V190" i="2"/>
  <c r="U190" i="2"/>
  <c r="T190" i="2"/>
  <c r="S190" i="2"/>
  <c r="R190" i="2"/>
  <c r="Q190" i="2"/>
  <c r="P190" i="2"/>
  <c r="O190" i="2"/>
  <c r="N190" i="2"/>
  <c r="M190" i="2"/>
  <c r="L190" i="2"/>
  <c r="K190" i="2"/>
  <c r="J190" i="2"/>
  <c r="I190" i="2"/>
  <c r="V189" i="2"/>
  <c r="U189" i="2"/>
  <c r="T189" i="2"/>
  <c r="S189" i="2"/>
  <c r="R189" i="2"/>
  <c r="Q189" i="2"/>
  <c r="P189" i="2"/>
  <c r="O189" i="2"/>
  <c r="N189" i="2"/>
  <c r="M189" i="2"/>
  <c r="L189" i="2"/>
  <c r="K189" i="2"/>
  <c r="J189" i="2"/>
  <c r="I189" i="2"/>
  <c r="V188" i="2"/>
  <c r="U188" i="2"/>
  <c r="T188" i="2"/>
  <c r="S188" i="2"/>
  <c r="R188" i="2"/>
  <c r="Q188" i="2"/>
  <c r="P188" i="2"/>
  <c r="O188" i="2"/>
  <c r="N188" i="2"/>
  <c r="M188" i="2"/>
  <c r="L188" i="2"/>
  <c r="K188" i="2"/>
  <c r="J188" i="2"/>
  <c r="I188" i="2"/>
  <c r="V187" i="2"/>
  <c r="U187" i="2"/>
  <c r="T187" i="2"/>
  <c r="S187" i="2"/>
  <c r="R187" i="2"/>
  <c r="Q187" i="2"/>
  <c r="P187" i="2"/>
  <c r="O187" i="2"/>
  <c r="N187" i="2"/>
  <c r="M187" i="2"/>
  <c r="L187" i="2"/>
  <c r="K187" i="2"/>
  <c r="J187" i="2"/>
  <c r="I187" i="2"/>
  <c r="V186" i="2"/>
  <c r="U186" i="2"/>
  <c r="T186" i="2"/>
  <c r="S186" i="2"/>
  <c r="R186" i="2"/>
  <c r="Q186" i="2"/>
  <c r="P186" i="2"/>
  <c r="O186" i="2"/>
  <c r="N186" i="2"/>
  <c r="M186" i="2"/>
  <c r="L186" i="2"/>
  <c r="K186" i="2"/>
  <c r="J186" i="2"/>
  <c r="I186" i="2"/>
  <c r="V185" i="2"/>
  <c r="U185" i="2"/>
  <c r="T185" i="2"/>
  <c r="S185" i="2"/>
  <c r="R185" i="2"/>
  <c r="Q185" i="2"/>
  <c r="P185" i="2"/>
  <c r="O185" i="2"/>
  <c r="N185" i="2"/>
  <c r="M185" i="2"/>
  <c r="L185" i="2"/>
  <c r="K185" i="2"/>
  <c r="J185" i="2"/>
  <c r="I185" i="2"/>
  <c r="V184" i="2"/>
  <c r="U184" i="2"/>
  <c r="T184" i="2"/>
  <c r="S184" i="2"/>
  <c r="R184" i="2"/>
  <c r="Q184" i="2"/>
  <c r="P184" i="2"/>
  <c r="O184" i="2"/>
  <c r="N184" i="2"/>
  <c r="M184" i="2"/>
  <c r="L184" i="2"/>
  <c r="K184" i="2"/>
  <c r="J184" i="2"/>
  <c r="I184" i="2"/>
  <c r="V183" i="2"/>
  <c r="U183" i="2"/>
  <c r="T183" i="2"/>
  <c r="S183" i="2"/>
  <c r="R183" i="2"/>
  <c r="Q183" i="2"/>
  <c r="P183" i="2"/>
  <c r="O183" i="2"/>
  <c r="N183" i="2"/>
  <c r="M183" i="2"/>
  <c r="L183" i="2"/>
  <c r="K183" i="2"/>
  <c r="J183" i="2"/>
  <c r="I183" i="2"/>
  <c r="V182" i="2"/>
  <c r="U182" i="2"/>
  <c r="T182" i="2"/>
  <c r="S182" i="2"/>
  <c r="R182" i="2"/>
  <c r="Q182" i="2"/>
  <c r="P182" i="2"/>
  <c r="O182" i="2"/>
  <c r="N182" i="2"/>
  <c r="M182" i="2"/>
  <c r="L182" i="2"/>
  <c r="K182" i="2"/>
  <c r="J182" i="2"/>
  <c r="I182" i="2"/>
  <c r="V181" i="2"/>
  <c r="U181" i="2"/>
  <c r="T181" i="2"/>
  <c r="S181" i="2"/>
  <c r="R181" i="2"/>
  <c r="Q181" i="2"/>
  <c r="P181" i="2"/>
  <c r="O181" i="2"/>
  <c r="N181" i="2"/>
  <c r="M181" i="2"/>
  <c r="L181" i="2"/>
  <c r="K181" i="2"/>
  <c r="J181" i="2"/>
  <c r="I181" i="2"/>
  <c r="V180" i="2"/>
  <c r="U180" i="2"/>
  <c r="T180" i="2"/>
  <c r="S180" i="2"/>
  <c r="R180" i="2"/>
  <c r="Q180" i="2"/>
  <c r="P180" i="2"/>
  <c r="O180" i="2"/>
  <c r="N180" i="2"/>
  <c r="M180" i="2"/>
  <c r="L180" i="2"/>
  <c r="K180" i="2"/>
  <c r="J180" i="2"/>
  <c r="I180" i="2"/>
  <c r="V179" i="2"/>
  <c r="U179" i="2"/>
  <c r="T179" i="2"/>
  <c r="S179" i="2"/>
  <c r="R179" i="2"/>
  <c r="Q179" i="2"/>
  <c r="P179" i="2"/>
  <c r="O179" i="2"/>
  <c r="N179" i="2"/>
  <c r="M179" i="2"/>
  <c r="L179" i="2"/>
  <c r="K179" i="2"/>
  <c r="J179" i="2"/>
  <c r="I179" i="2"/>
  <c r="V178" i="2"/>
  <c r="U178" i="2"/>
  <c r="T178" i="2"/>
  <c r="S178" i="2"/>
  <c r="R178" i="2"/>
  <c r="Q178" i="2"/>
  <c r="P178" i="2"/>
  <c r="O178" i="2"/>
  <c r="N178" i="2"/>
  <c r="M178" i="2"/>
  <c r="L178" i="2"/>
  <c r="K178" i="2"/>
  <c r="J178" i="2"/>
  <c r="I178" i="2"/>
  <c r="V177" i="2"/>
  <c r="U177" i="2"/>
  <c r="T177" i="2"/>
  <c r="S177" i="2"/>
  <c r="R177" i="2"/>
  <c r="Q177" i="2"/>
  <c r="P177" i="2"/>
  <c r="O177" i="2"/>
  <c r="N177" i="2"/>
  <c r="M177" i="2"/>
  <c r="L177" i="2"/>
  <c r="K177" i="2"/>
  <c r="J177" i="2"/>
  <c r="I177" i="2"/>
  <c r="V176" i="2"/>
  <c r="U176" i="2"/>
  <c r="T176" i="2"/>
  <c r="S176" i="2"/>
  <c r="R176" i="2"/>
  <c r="Q176" i="2"/>
  <c r="P176" i="2"/>
  <c r="O176" i="2"/>
  <c r="N176" i="2"/>
  <c r="M176" i="2"/>
  <c r="L176" i="2"/>
  <c r="K176" i="2"/>
  <c r="J176" i="2"/>
  <c r="I176" i="2"/>
  <c r="V175" i="2"/>
  <c r="U175" i="2"/>
  <c r="T175" i="2"/>
  <c r="S175" i="2"/>
  <c r="R175" i="2"/>
  <c r="Q175" i="2"/>
  <c r="P175" i="2"/>
  <c r="O175" i="2"/>
  <c r="N175" i="2"/>
  <c r="M175" i="2"/>
  <c r="L175" i="2"/>
  <c r="K175" i="2"/>
  <c r="J175" i="2"/>
  <c r="I175" i="2"/>
  <c r="V174" i="2"/>
  <c r="U174" i="2"/>
  <c r="T174" i="2"/>
  <c r="S174" i="2"/>
  <c r="R174" i="2"/>
  <c r="Q174" i="2"/>
  <c r="P174" i="2"/>
  <c r="O174" i="2"/>
  <c r="N174" i="2"/>
  <c r="M174" i="2"/>
  <c r="L174" i="2"/>
  <c r="K174" i="2"/>
  <c r="J174" i="2"/>
  <c r="I174" i="2"/>
  <c r="V173" i="2"/>
  <c r="U173" i="2"/>
  <c r="T173" i="2"/>
  <c r="S173" i="2"/>
  <c r="R173" i="2"/>
  <c r="Q173" i="2"/>
  <c r="P173" i="2"/>
  <c r="O173" i="2"/>
  <c r="N173" i="2"/>
  <c r="M173" i="2"/>
  <c r="L173" i="2"/>
  <c r="K173" i="2"/>
  <c r="J173" i="2"/>
  <c r="I173" i="2"/>
  <c r="V172" i="2"/>
  <c r="U172" i="2"/>
  <c r="T172" i="2"/>
  <c r="S172" i="2"/>
  <c r="R172" i="2"/>
  <c r="Q172" i="2"/>
  <c r="P172" i="2"/>
  <c r="O172" i="2"/>
  <c r="N172" i="2"/>
  <c r="M172" i="2"/>
  <c r="L172" i="2"/>
  <c r="K172" i="2"/>
  <c r="J172" i="2"/>
  <c r="I172" i="2"/>
  <c r="V171" i="2"/>
  <c r="U171" i="2"/>
  <c r="T171" i="2"/>
  <c r="S171" i="2"/>
  <c r="R171" i="2"/>
  <c r="Q171" i="2"/>
  <c r="P171" i="2"/>
  <c r="O171" i="2"/>
  <c r="N171" i="2"/>
  <c r="M171" i="2"/>
  <c r="L171" i="2"/>
  <c r="K171" i="2"/>
  <c r="J171" i="2"/>
  <c r="I171" i="2"/>
  <c r="V170" i="2"/>
  <c r="U170" i="2"/>
  <c r="T170" i="2"/>
  <c r="S170" i="2"/>
  <c r="R170" i="2"/>
  <c r="Q170" i="2"/>
  <c r="P170" i="2"/>
  <c r="O170" i="2"/>
  <c r="N170" i="2"/>
  <c r="M170" i="2"/>
  <c r="L170" i="2"/>
  <c r="K170" i="2"/>
  <c r="J170" i="2"/>
  <c r="I170" i="2"/>
  <c r="V169" i="2"/>
  <c r="U169" i="2"/>
  <c r="T169" i="2"/>
  <c r="S169" i="2"/>
  <c r="R169" i="2"/>
  <c r="Q169" i="2"/>
  <c r="P169" i="2"/>
  <c r="O169" i="2"/>
  <c r="N169" i="2"/>
  <c r="M169" i="2"/>
  <c r="L169" i="2"/>
  <c r="K169" i="2"/>
  <c r="J169" i="2"/>
  <c r="I169" i="2"/>
  <c r="V168" i="2"/>
  <c r="U168" i="2"/>
  <c r="T168" i="2"/>
  <c r="S168" i="2"/>
  <c r="R168" i="2"/>
  <c r="Q168" i="2"/>
  <c r="P168" i="2"/>
  <c r="O168" i="2"/>
  <c r="N168" i="2"/>
  <c r="M168" i="2"/>
  <c r="L168" i="2"/>
  <c r="K168" i="2"/>
  <c r="J168" i="2"/>
  <c r="I168" i="2"/>
  <c r="V167" i="2"/>
  <c r="U167" i="2"/>
  <c r="T167" i="2"/>
  <c r="S167" i="2"/>
  <c r="R167" i="2"/>
  <c r="Q167" i="2"/>
  <c r="P167" i="2"/>
  <c r="O167" i="2"/>
  <c r="N167" i="2"/>
  <c r="M167" i="2"/>
  <c r="L167" i="2"/>
  <c r="K167" i="2"/>
  <c r="J167" i="2"/>
  <c r="I167" i="2"/>
  <c r="H204" i="2"/>
  <c r="G204" i="2"/>
  <c r="F204" i="2"/>
  <c r="E204" i="2"/>
  <c r="D204" i="2"/>
  <c r="C204" i="2"/>
  <c r="H202" i="2"/>
  <c r="G202" i="2"/>
  <c r="F202" i="2"/>
  <c r="E202" i="2"/>
  <c r="D202" i="2"/>
  <c r="C202" i="2"/>
  <c r="I206" i="2" l="1"/>
  <c r="S206" i="2"/>
  <c r="M206" i="2"/>
  <c r="U206" i="2"/>
  <c r="X204" i="2"/>
  <c r="N206" i="2"/>
  <c r="L206" i="2"/>
  <c r="J206" i="2"/>
  <c r="V206" i="2"/>
  <c r="T206" i="2"/>
  <c r="P206" i="2"/>
  <c r="O206" i="2"/>
  <c r="Q206" i="2"/>
  <c r="R206" i="2"/>
  <c r="X202" i="2"/>
  <c r="K206" i="2"/>
  <c r="C80" i="5"/>
  <c r="D80" i="5"/>
  <c r="E80" i="5"/>
  <c r="F80" i="5"/>
  <c r="G80" i="5"/>
  <c r="H80" i="5"/>
  <c r="I80" i="5"/>
  <c r="J80" i="5"/>
  <c r="K80" i="5"/>
  <c r="L80" i="5"/>
  <c r="M80" i="5"/>
  <c r="N80" i="5"/>
  <c r="O80" i="5"/>
  <c r="P80" i="5"/>
  <c r="Q80" i="5"/>
  <c r="R80" i="5"/>
  <c r="S80" i="5"/>
  <c r="T80" i="5"/>
  <c r="U80" i="5"/>
  <c r="V80" i="5"/>
  <c r="K104" i="2"/>
  <c r="K100" i="2"/>
  <c r="X79" i="2"/>
  <c r="X78" i="2"/>
  <c r="X77" i="2"/>
  <c r="X76" i="2"/>
  <c r="X75" i="2"/>
  <c r="X74" i="2"/>
  <c r="X73" i="2"/>
  <c r="X72" i="2"/>
  <c r="X71" i="2"/>
  <c r="X70" i="2"/>
  <c r="X69" i="2"/>
  <c r="X68" i="2"/>
  <c r="X67" i="2"/>
  <c r="X66" i="2"/>
  <c r="X65" i="2"/>
  <c r="X64" i="2"/>
  <c r="X63" i="2"/>
  <c r="X62" i="2"/>
  <c r="X61" i="2"/>
  <c r="X60" i="2"/>
  <c r="X59" i="2"/>
  <c r="X58" i="2"/>
  <c r="X57" i="2"/>
  <c r="X56" i="2"/>
  <c r="X55" i="2"/>
  <c r="X54" i="2"/>
  <c r="X53" i="2"/>
  <c r="X52" i="2"/>
  <c r="X51" i="2"/>
  <c r="X50" i="2"/>
  <c r="X49" i="2"/>
  <c r="X48" i="2"/>
  <c r="X47" i="2"/>
  <c r="X46" i="2"/>
  <c r="X45" i="2"/>
  <c r="X44" i="2"/>
  <c r="X43" i="2"/>
  <c r="X42" i="2"/>
  <c r="X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C168" i="5"/>
  <c r="D168" i="5"/>
  <c r="E168" i="5"/>
  <c r="F168" i="5"/>
  <c r="G168" i="5"/>
  <c r="H168" i="5"/>
  <c r="I168" i="5"/>
  <c r="J168" i="5"/>
  <c r="K168" i="5"/>
  <c r="L168" i="5"/>
  <c r="M168" i="5"/>
  <c r="N168" i="5"/>
  <c r="O168" i="5"/>
  <c r="P168" i="5"/>
  <c r="Q168" i="5"/>
  <c r="R168" i="5"/>
  <c r="S168" i="5"/>
  <c r="T168" i="5"/>
  <c r="U168" i="5"/>
  <c r="V168" i="5"/>
  <c r="C169" i="5"/>
  <c r="D169" i="5"/>
  <c r="E169" i="5"/>
  <c r="F169" i="5"/>
  <c r="G169" i="5"/>
  <c r="H169" i="5"/>
  <c r="I169" i="5"/>
  <c r="J169" i="5"/>
  <c r="K169" i="5"/>
  <c r="L169" i="5"/>
  <c r="M169" i="5"/>
  <c r="N169" i="5"/>
  <c r="O169" i="5"/>
  <c r="P169" i="5"/>
  <c r="Q169" i="5"/>
  <c r="R169" i="5"/>
  <c r="S169" i="5"/>
  <c r="T169" i="5"/>
  <c r="U169" i="5"/>
  <c r="V169" i="5"/>
  <c r="C170" i="5"/>
  <c r="D170" i="5"/>
  <c r="E170" i="5"/>
  <c r="F170" i="5"/>
  <c r="G170" i="5"/>
  <c r="H170" i="5"/>
  <c r="I170" i="5"/>
  <c r="J170" i="5"/>
  <c r="K170" i="5"/>
  <c r="L170" i="5"/>
  <c r="M170" i="5"/>
  <c r="N170" i="5"/>
  <c r="O170" i="5"/>
  <c r="P170" i="5"/>
  <c r="Q170" i="5"/>
  <c r="R170" i="5"/>
  <c r="S170" i="5"/>
  <c r="T170" i="5"/>
  <c r="U170" i="5"/>
  <c r="V170" i="5"/>
  <c r="C171" i="5"/>
  <c r="D171" i="5"/>
  <c r="E171" i="5"/>
  <c r="F171" i="5"/>
  <c r="G171" i="5"/>
  <c r="H171" i="5"/>
  <c r="I171" i="5"/>
  <c r="J171" i="5"/>
  <c r="K171" i="5"/>
  <c r="L171" i="5"/>
  <c r="M171" i="5"/>
  <c r="N171" i="5"/>
  <c r="O171" i="5"/>
  <c r="P171" i="5"/>
  <c r="Q171" i="5"/>
  <c r="R171" i="5"/>
  <c r="S171" i="5"/>
  <c r="T171" i="5"/>
  <c r="U171" i="5"/>
  <c r="V171" i="5"/>
  <c r="C172" i="5"/>
  <c r="D172" i="5"/>
  <c r="E172" i="5"/>
  <c r="F172" i="5"/>
  <c r="G172" i="5"/>
  <c r="H172" i="5"/>
  <c r="I172" i="5"/>
  <c r="J172" i="5"/>
  <c r="K172" i="5"/>
  <c r="L172" i="5"/>
  <c r="M172" i="5"/>
  <c r="N172" i="5"/>
  <c r="O172" i="5"/>
  <c r="P172" i="5"/>
  <c r="Q172" i="5"/>
  <c r="R172" i="5"/>
  <c r="S172" i="5"/>
  <c r="T172" i="5"/>
  <c r="U172" i="5"/>
  <c r="V172" i="5"/>
  <c r="C173" i="5"/>
  <c r="D173" i="5"/>
  <c r="E173" i="5"/>
  <c r="F173" i="5"/>
  <c r="G173" i="5"/>
  <c r="H173" i="5"/>
  <c r="I173" i="5"/>
  <c r="J173" i="5"/>
  <c r="K173" i="5"/>
  <c r="L173" i="5"/>
  <c r="M173" i="5"/>
  <c r="N173" i="5"/>
  <c r="O173" i="5"/>
  <c r="P173" i="5"/>
  <c r="Q173" i="5"/>
  <c r="R173" i="5"/>
  <c r="S173" i="5"/>
  <c r="T173" i="5"/>
  <c r="U173" i="5"/>
  <c r="V173" i="5"/>
  <c r="C174" i="5"/>
  <c r="D174" i="5"/>
  <c r="E174" i="5"/>
  <c r="F174" i="5"/>
  <c r="G174" i="5"/>
  <c r="H174" i="5"/>
  <c r="I174" i="5"/>
  <c r="J174" i="5"/>
  <c r="K174" i="5"/>
  <c r="L174" i="5"/>
  <c r="M174" i="5"/>
  <c r="N174" i="5"/>
  <c r="O174" i="5"/>
  <c r="P174" i="5"/>
  <c r="Q174" i="5"/>
  <c r="R174" i="5"/>
  <c r="S174" i="5"/>
  <c r="T174" i="5"/>
  <c r="U174" i="5"/>
  <c r="V174" i="5"/>
  <c r="C175" i="5"/>
  <c r="D175" i="5"/>
  <c r="E175" i="5"/>
  <c r="F175" i="5"/>
  <c r="G175" i="5"/>
  <c r="H175" i="5"/>
  <c r="I175" i="5"/>
  <c r="J175" i="5"/>
  <c r="K175" i="5"/>
  <c r="L175" i="5"/>
  <c r="M175" i="5"/>
  <c r="N175" i="5"/>
  <c r="O175" i="5"/>
  <c r="P175" i="5"/>
  <c r="Q175" i="5"/>
  <c r="R175" i="5"/>
  <c r="S175" i="5"/>
  <c r="T175" i="5"/>
  <c r="U175" i="5"/>
  <c r="V175" i="5"/>
  <c r="C176" i="5"/>
  <c r="D176" i="5"/>
  <c r="E176" i="5"/>
  <c r="F176" i="5"/>
  <c r="G176" i="5"/>
  <c r="H176" i="5"/>
  <c r="I176" i="5"/>
  <c r="J176" i="5"/>
  <c r="K176" i="5"/>
  <c r="L176" i="5"/>
  <c r="M176" i="5"/>
  <c r="N176" i="5"/>
  <c r="O176" i="5"/>
  <c r="P176" i="5"/>
  <c r="Q176" i="5"/>
  <c r="R176" i="5"/>
  <c r="S176" i="5"/>
  <c r="T176" i="5"/>
  <c r="U176" i="5"/>
  <c r="V176" i="5"/>
  <c r="C177" i="5"/>
  <c r="D177" i="5"/>
  <c r="E177" i="5"/>
  <c r="F177" i="5"/>
  <c r="G177" i="5"/>
  <c r="H177" i="5"/>
  <c r="I177" i="5"/>
  <c r="J177" i="5"/>
  <c r="K177" i="5"/>
  <c r="L177" i="5"/>
  <c r="M177" i="5"/>
  <c r="N177" i="5"/>
  <c r="O177" i="5"/>
  <c r="P177" i="5"/>
  <c r="Q177" i="5"/>
  <c r="R177" i="5"/>
  <c r="S177" i="5"/>
  <c r="T177" i="5"/>
  <c r="U177" i="5"/>
  <c r="V177" i="5"/>
  <c r="C178" i="5"/>
  <c r="D178" i="5"/>
  <c r="E178" i="5"/>
  <c r="F178" i="5"/>
  <c r="G178" i="5"/>
  <c r="H178" i="5"/>
  <c r="I178" i="5"/>
  <c r="J178" i="5"/>
  <c r="K178" i="5"/>
  <c r="L178" i="5"/>
  <c r="M178" i="5"/>
  <c r="N178" i="5"/>
  <c r="O178" i="5"/>
  <c r="P178" i="5"/>
  <c r="Q178" i="5"/>
  <c r="R178" i="5"/>
  <c r="S178" i="5"/>
  <c r="T178" i="5"/>
  <c r="U178" i="5"/>
  <c r="V178" i="5"/>
  <c r="C179" i="5"/>
  <c r="D179" i="5"/>
  <c r="E179" i="5"/>
  <c r="F179" i="5"/>
  <c r="G179" i="5"/>
  <c r="H179" i="5"/>
  <c r="I179" i="5"/>
  <c r="J179" i="5"/>
  <c r="K179" i="5"/>
  <c r="L179" i="5"/>
  <c r="M179" i="5"/>
  <c r="N179" i="5"/>
  <c r="O179" i="5"/>
  <c r="P179" i="5"/>
  <c r="Q179" i="5"/>
  <c r="R179" i="5"/>
  <c r="S179" i="5"/>
  <c r="T179" i="5"/>
  <c r="U179" i="5"/>
  <c r="V179" i="5"/>
  <c r="C180" i="5"/>
  <c r="D180" i="5"/>
  <c r="E180" i="5"/>
  <c r="F180" i="5"/>
  <c r="G180" i="5"/>
  <c r="H180" i="5"/>
  <c r="I180" i="5"/>
  <c r="J180" i="5"/>
  <c r="K180" i="5"/>
  <c r="L180" i="5"/>
  <c r="M180" i="5"/>
  <c r="N180" i="5"/>
  <c r="O180" i="5"/>
  <c r="P180" i="5"/>
  <c r="Q180" i="5"/>
  <c r="R180" i="5"/>
  <c r="S180" i="5"/>
  <c r="T180" i="5"/>
  <c r="U180" i="5"/>
  <c r="V180" i="5"/>
  <c r="C181" i="5"/>
  <c r="D181" i="5"/>
  <c r="E181" i="5"/>
  <c r="F181" i="5"/>
  <c r="G181" i="5"/>
  <c r="H181" i="5"/>
  <c r="I181" i="5"/>
  <c r="J181" i="5"/>
  <c r="K181" i="5"/>
  <c r="L181" i="5"/>
  <c r="M181" i="5"/>
  <c r="N181" i="5"/>
  <c r="O181" i="5"/>
  <c r="P181" i="5"/>
  <c r="Q181" i="5"/>
  <c r="R181" i="5"/>
  <c r="S181" i="5"/>
  <c r="T181" i="5"/>
  <c r="U181" i="5"/>
  <c r="V181" i="5"/>
  <c r="C182" i="5"/>
  <c r="D182" i="5"/>
  <c r="E182" i="5"/>
  <c r="F182" i="5"/>
  <c r="G182" i="5"/>
  <c r="H182" i="5"/>
  <c r="I182" i="5"/>
  <c r="J182" i="5"/>
  <c r="K182" i="5"/>
  <c r="L182" i="5"/>
  <c r="M182" i="5"/>
  <c r="N182" i="5"/>
  <c r="O182" i="5"/>
  <c r="P182" i="5"/>
  <c r="Q182" i="5"/>
  <c r="R182" i="5"/>
  <c r="S182" i="5"/>
  <c r="T182" i="5"/>
  <c r="U182" i="5"/>
  <c r="V182" i="5"/>
  <c r="C183" i="5"/>
  <c r="D183" i="5"/>
  <c r="E183" i="5"/>
  <c r="F183" i="5"/>
  <c r="G183" i="5"/>
  <c r="H183" i="5"/>
  <c r="I183" i="5"/>
  <c r="J183" i="5"/>
  <c r="K183" i="5"/>
  <c r="L183" i="5"/>
  <c r="M183" i="5"/>
  <c r="N183" i="5"/>
  <c r="O183" i="5"/>
  <c r="P183" i="5"/>
  <c r="Q183" i="5"/>
  <c r="R183" i="5"/>
  <c r="S183" i="5"/>
  <c r="T183" i="5"/>
  <c r="U183" i="5"/>
  <c r="V183" i="5"/>
  <c r="C184" i="5"/>
  <c r="D184" i="5"/>
  <c r="E184" i="5"/>
  <c r="F184" i="5"/>
  <c r="G184" i="5"/>
  <c r="H184" i="5"/>
  <c r="I184" i="5"/>
  <c r="J184" i="5"/>
  <c r="K184" i="5"/>
  <c r="L184" i="5"/>
  <c r="M184" i="5"/>
  <c r="N184" i="5"/>
  <c r="O184" i="5"/>
  <c r="P184" i="5"/>
  <c r="Q184" i="5"/>
  <c r="R184" i="5"/>
  <c r="S184" i="5"/>
  <c r="T184" i="5"/>
  <c r="U184" i="5"/>
  <c r="V184" i="5"/>
  <c r="C185" i="5"/>
  <c r="D185" i="5"/>
  <c r="E185" i="5"/>
  <c r="F185" i="5"/>
  <c r="G185" i="5"/>
  <c r="H185" i="5"/>
  <c r="I185" i="5"/>
  <c r="J185" i="5"/>
  <c r="K185" i="5"/>
  <c r="L185" i="5"/>
  <c r="M185" i="5"/>
  <c r="N185" i="5"/>
  <c r="O185" i="5"/>
  <c r="P185" i="5"/>
  <c r="Q185" i="5"/>
  <c r="R185" i="5"/>
  <c r="S185" i="5"/>
  <c r="T185" i="5"/>
  <c r="U185" i="5"/>
  <c r="V185" i="5"/>
  <c r="C186" i="5"/>
  <c r="D186" i="5"/>
  <c r="E186" i="5"/>
  <c r="F186" i="5"/>
  <c r="G186" i="5"/>
  <c r="H186" i="5"/>
  <c r="I186" i="5"/>
  <c r="J186" i="5"/>
  <c r="K186" i="5"/>
  <c r="L186" i="5"/>
  <c r="M186" i="5"/>
  <c r="N186" i="5"/>
  <c r="O186" i="5"/>
  <c r="P186" i="5"/>
  <c r="Q186" i="5"/>
  <c r="R186" i="5"/>
  <c r="S186" i="5"/>
  <c r="T186" i="5"/>
  <c r="U186" i="5"/>
  <c r="V186" i="5"/>
  <c r="C187" i="5"/>
  <c r="D187" i="5"/>
  <c r="E187" i="5"/>
  <c r="F187" i="5"/>
  <c r="G187" i="5"/>
  <c r="H187" i="5"/>
  <c r="I187" i="5"/>
  <c r="J187" i="5"/>
  <c r="K187" i="5"/>
  <c r="L187" i="5"/>
  <c r="M187" i="5"/>
  <c r="N187" i="5"/>
  <c r="O187" i="5"/>
  <c r="P187" i="5"/>
  <c r="Q187" i="5"/>
  <c r="R187" i="5"/>
  <c r="S187" i="5"/>
  <c r="T187" i="5"/>
  <c r="U187" i="5"/>
  <c r="V187" i="5"/>
  <c r="C188" i="5"/>
  <c r="D188" i="5"/>
  <c r="E188" i="5"/>
  <c r="F188" i="5"/>
  <c r="G188" i="5"/>
  <c r="H188" i="5"/>
  <c r="I188" i="5"/>
  <c r="J188" i="5"/>
  <c r="K188" i="5"/>
  <c r="L188" i="5"/>
  <c r="M188" i="5"/>
  <c r="N188" i="5"/>
  <c r="O188" i="5"/>
  <c r="P188" i="5"/>
  <c r="Q188" i="5"/>
  <c r="R188" i="5"/>
  <c r="S188" i="5"/>
  <c r="T188" i="5"/>
  <c r="U188" i="5"/>
  <c r="V188" i="5"/>
  <c r="C189" i="5"/>
  <c r="D189" i="5"/>
  <c r="E189" i="5"/>
  <c r="F189" i="5"/>
  <c r="G189" i="5"/>
  <c r="H189" i="5"/>
  <c r="I189" i="5"/>
  <c r="J189" i="5"/>
  <c r="K189" i="5"/>
  <c r="L189" i="5"/>
  <c r="M189" i="5"/>
  <c r="N189" i="5"/>
  <c r="O189" i="5"/>
  <c r="P189" i="5"/>
  <c r="Q189" i="5"/>
  <c r="R189" i="5"/>
  <c r="S189" i="5"/>
  <c r="T189" i="5"/>
  <c r="U189" i="5"/>
  <c r="V189" i="5"/>
  <c r="C190" i="5"/>
  <c r="D190" i="5"/>
  <c r="E190" i="5"/>
  <c r="F190" i="5"/>
  <c r="G190" i="5"/>
  <c r="H190" i="5"/>
  <c r="I190" i="5"/>
  <c r="J190" i="5"/>
  <c r="K190" i="5"/>
  <c r="L190" i="5"/>
  <c r="M190" i="5"/>
  <c r="N190" i="5"/>
  <c r="O190" i="5"/>
  <c r="P190" i="5"/>
  <c r="Q190" i="5"/>
  <c r="R190" i="5"/>
  <c r="S190" i="5"/>
  <c r="T190" i="5"/>
  <c r="U190" i="5"/>
  <c r="V190" i="5"/>
  <c r="C191" i="5"/>
  <c r="D191" i="5"/>
  <c r="E191" i="5"/>
  <c r="F191" i="5"/>
  <c r="G191" i="5"/>
  <c r="H191" i="5"/>
  <c r="I191" i="5"/>
  <c r="J191" i="5"/>
  <c r="K191" i="5"/>
  <c r="L191" i="5"/>
  <c r="M191" i="5"/>
  <c r="N191" i="5"/>
  <c r="O191" i="5"/>
  <c r="P191" i="5"/>
  <c r="Q191" i="5"/>
  <c r="R191" i="5"/>
  <c r="S191" i="5"/>
  <c r="T191" i="5"/>
  <c r="U191" i="5"/>
  <c r="V191" i="5"/>
  <c r="C192" i="5"/>
  <c r="D192" i="5"/>
  <c r="E192" i="5"/>
  <c r="F192" i="5"/>
  <c r="G192" i="5"/>
  <c r="H192" i="5"/>
  <c r="I192" i="5"/>
  <c r="J192" i="5"/>
  <c r="K192" i="5"/>
  <c r="L192" i="5"/>
  <c r="M192" i="5"/>
  <c r="N192" i="5"/>
  <c r="O192" i="5"/>
  <c r="P192" i="5"/>
  <c r="Q192" i="5"/>
  <c r="R192" i="5"/>
  <c r="S192" i="5"/>
  <c r="T192" i="5"/>
  <c r="U192" i="5"/>
  <c r="V192" i="5"/>
  <c r="C193" i="5"/>
  <c r="D193" i="5"/>
  <c r="E193" i="5"/>
  <c r="F193" i="5"/>
  <c r="G193" i="5"/>
  <c r="H193" i="5"/>
  <c r="I193" i="5"/>
  <c r="J193" i="5"/>
  <c r="K193" i="5"/>
  <c r="L193" i="5"/>
  <c r="M193" i="5"/>
  <c r="N193" i="5"/>
  <c r="O193" i="5"/>
  <c r="P193" i="5"/>
  <c r="Q193" i="5"/>
  <c r="R193" i="5"/>
  <c r="S193" i="5"/>
  <c r="T193" i="5"/>
  <c r="U193" i="5"/>
  <c r="V193" i="5"/>
  <c r="C194" i="5"/>
  <c r="D194" i="5"/>
  <c r="E194" i="5"/>
  <c r="F194" i="5"/>
  <c r="G194" i="5"/>
  <c r="H194" i="5"/>
  <c r="I194" i="5"/>
  <c r="J194" i="5"/>
  <c r="K194" i="5"/>
  <c r="L194" i="5"/>
  <c r="M194" i="5"/>
  <c r="N194" i="5"/>
  <c r="O194" i="5"/>
  <c r="P194" i="5"/>
  <c r="Q194" i="5"/>
  <c r="R194" i="5"/>
  <c r="S194" i="5"/>
  <c r="T194" i="5"/>
  <c r="U194" i="5"/>
  <c r="V194" i="5"/>
  <c r="C195" i="5"/>
  <c r="D195" i="5"/>
  <c r="E195" i="5"/>
  <c r="F195" i="5"/>
  <c r="G195" i="5"/>
  <c r="H195" i="5"/>
  <c r="I195" i="5"/>
  <c r="J195" i="5"/>
  <c r="K195" i="5"/>
  <c r="L195" i="5"/>
  <c r="M195" i="5"/>
  <c r="N195" i="5"/>
  <c r="O195" i="5"/>
  <c r="P195" i="5"/>
  <c r="Q195" i="5"/>
  <c r="R195" i="5"/>
  <c r="S195" i="5"/>
  <c r="T195" i="5"/>
  <c r="U195" i="5"/>
  <c r="V195" i="5"/>
  <c r="C196" i="5"/>
  <c r="D196" i="5"/>
  <c r="E196" i="5"/>
  <c r="F196" i="5"/>
  <c r="G196" i="5"/>
  <c r="H196" i="5"/>
  <c r="I196" i="5"/>
  <c r="J196" i="5"/>
  <c r="K196" i="5"/>
  <c r="L196" i="5"/>
  <c r="M196" i="5"/>
  <c r="N196" i="5"/>
  <c r="O196" i="5"/>
  <c r="P196" i="5"/>
  <c r="Q196" i="5"/>
  <c r="R196" i="5"/>
  <c r="S196" i="5"/>
  <c r="T196" i="5"/>
  <c r="U196" i="5"/>
  <c r="V196" i="5"/>
  <c r="C197" i="5"/>
  <c r="D197" i="5"/>
  <c r="E197" i="5"/>
  <c r="F197" i="5"/>
  <c r="G197" i="5"/>
  <c r="H197" i="5"/>
  <c r="I197" i="5"/>
  <c r="J197" i="5"/>
  <c r="K197" i="5"/>
  <c r="L197" i="5"/>
  <c r="M197" i="5"/>
  <c r="N197" i="5"/>
  <c r="O197" i="5"/>
  <c r="P197" i="5"/>
  <c r="Q197" i="5"/>
  <c r="R197" i="5"/>
  <c r="S197" i="5"/>
  <c r="T197" i="5"/>
  <c r="U197" i="5"/>
  <c r="V197" i="5"/>
  <c r="C198" i="5"/>
  <c r="D198" i="5"/>
  <c r="E198" i="5"/>
  <c r="F198" i="5"/>
  <c r="G198" i="5"/>
  <c r="H198" i="5"/>
  <c r="I198" i="5"/>
  <c r="J198" i="5"/>
  <c r="K198" i="5"/>
  <c r="L198" i="5"/>
  <c r="M198" i="5"/>
  <c r="N198" i="5"/>
  <c r="O198" i="5"/>
  <c r="P198" i="5"/>
  <c r="Q198" i="5"/>
  <c r="R198" i="5"/>
  <c r="S198" i="5"/>
  <c r="T198" i="5"/>
  <c r="U198" i="5"/>
  <c r="V198" i="5"/>
  <c r="C199" i="5"/>
  <c r="D199" i="5"/>
  <c r="E199" i="5"/>
  <c r="F199" i="5"/>
  <c r="G199" i="5"/>
  <c r="H199" i="5"/>
  <c r="I199" i="5"/>
  <c r="J199" i="5"/>
  <c r="K199" i="5"/>
  <c r="L199" i="5"/>
  <c r="M199" i="5"/>
  <c r="N199" i="5"/>
  <c r="O199" i="5"/>
  <c r="P199" i="5"/>
  <c r="Q199" i="5"/>
  <c r="R199" i="5"/>
  <c r="S199" i="5"/>
  <c r="T199" i="5"/>
  <c r="U199" i="5"/>
  <c r="V199" i="5"/>
  <c r="C200" i="5"/>
  <c r="D200" i="5"/>
  <c r="E200" i="5"/>
  <c r="F200" i="5"/>
  <c r="G200" i="5"/>
  <c r="H200" i="5"/>
  <c r="I200" i="5"/>
  <c r="J200" i="5"/>
  <c r="K200" i="5"/>
  <c r="L200" i="5"/>
  <c r="M200" i="5"/>
  <c r="N200" i="5"/>
  <c r="O200" i="5"/>
  <c r="P200" i="5"/>
  <c r="Q200" i="5"/>
  <c r="R200" i="5"/>
  <c r="S200" i="5"/>
  <c r="T200" i="5"/>
  <c r="U200" i="5"/>
  <c r="V200" i="5"/>
  <c r="C201" i="5"/>
  <c r="D201" i="5"/>
  <c r="E201" i="5"/>
  <c r="F201" i="5"/>
  <c r="G201" i="5"/>
  <c r="H201" i="5"/>
  <c r="I201" i="5"/>
  <c r="J201" i="5"/>
  <c r="K201" i="5"/>
  <c r="L201" i="5"/>
  <c r="M201" i="5"/>
  <c r="N201" i="5"/>
  <c r="O201" i="5"/>
  <c r="P201" i="5"/>
  <c r="Q201" i="5"/>
  <c r="R201" i="5"/>
  <c r="S201" i="5"/>
  <c r="T201" i="5"/>
  <c r="U201" i="5"/>
  <c r="V201" i="5"/>
  <c r="C202" i="5"/>
  <c r="D202" i="5"/>
  <c r="E202" i="5"/>
  <c r="F202" i="5"/>
  <c r="G202" i="5"/>
  <c r="H202" i="5"/>
  <c r="I202" i="5"/>
  <c r="J202" i="5"/>
  <c r="K202" i="5"/>
  <c r="L202" i="5"/>
  <c r="M202" i="5"/>
  <c r="N202" i="5"/>
  <c r="O202" i="5"/>
  <c r="P202" i="5"/>
  <c r="Q202" i="5"/>
  <c r="R202" i="5"/>
  <c r="S202" i="5"/>
  <c r="T202" i="5"/>
  <c r="U202" i="5"/>
  <c r="V202" i="5"/>
  <c r="C203" i="5"/>
  <c r="D203" i="5"/>
  <c r="E203" i="5"/>
  <c r="F203" i="5"/>
  <c r="G203" i="5"/>
  <c r="H203" i="5"/>
  <c r="I203" i="5"/>
  <c r="J203" i="5"/>
  <c r="K203" i="5"/>
  <c r="L203" i="5"/>
  <c r="M203" i="5"/>
  <c r="N203" i="5"/>
  <c r="O203" i="5"/>
  <c r="P203" i="5"/>
  <c r="Q203" i="5"/>
  <c r="R203" i="5"/>
  <c r="S203" i="5"/>
  <c r="T203" i="5"/>
  <c r="U203" i="5"/>
  <c r="V203" i="5"/>
  <c r="C204" i="5"/>
  <c r="D204" i="5"/>
  <c r="E204" i="5"/>
  <c r="F204" i="5"/>
  <c r="G204" i="5"/>
  <c r="H204" i="5"/>
  <c r="I204" i="5"/>
  <c r="J204" i="5"/>
  <c r="K204" i="5"/>
  <c r="L204" i="5"/>
  <c r="M204" i="5"/>
  <c r="N204" i="5"/>
  <c r="O204" i="5"/>
  <c r="P204" i="5"/>
  <c r="Q204" i="5"/>
  <c r="R204" i="5"/>
  <c r="S204" i="5"/>
  <c r="T204" i="5"/>
  <c r="U204" i="5"/>
  <c r="V204" i="5"/>
  <c r="D167" i="5"/>
  <c r="E167" i="5"/>
  <c r="F167" i="5"/>
  <c r="G167" i="5"/>
  <c r="H167" i="5"/>
  <c r="I167" i="5"/>
  <c r="J167" i="5"/>
  <c r="K167" i="5"/>
  <c r="L167" i="5"/>
  <c r="M167" i="5"/>
  <c r="N167" i="5"/>
  <c r="O167" i="5"/>
  <c r="P167" i="5"/>
  <c r="Q167" i="5"/>
  <c r="R167" i="5"/>
  <c r="S167" i="5"/>
  <c r="T167" i="5"/>
  <c r="U167" i="5"/>
  <c r="V167" i="5"/>
  <c r="C167" i="5"/>
  <c r="C83" i="5"/>
  <c r="V164" i="5"/>
  <c r="U164" i="5"/>
  <c r="T164" i="5"/>
  <c r="S164" i="5"/>
  <c r="R164" i="5"/>
  <c r="Q164" i="5"/>
  <c r="P164" i="5"/>
  <c r="O164" i="5"/>
  <c r="N164" i="5"/>
  <c r="M164" i="5"/>
  <c r="L164" i="5"/>
  <c r="K164" i="5"/>
  <c r="J164" i="5"/>
  <c r="I164" i="5"/>
  <c r="H164" i="5"/>
  <c r="G164" i="5"/>
  <c r="F164" i="5"/>
  <c r="E164" i="5"/>
  <c r="D164" i="5"/>
  <c r="C164" i="5"/>
  <c r="V120" i="5"/>
  <c r="U120" i="5"/>
  <c r="T120" i="5"/>
  <c r="S120" i="5"/>
  <c r="R120" i="5"/>
  <c r="Q120" i="5"/>
  <c r="P120" i="5"/>
  <c r="O120" i="5"/>
  <c r="N120" i="5"/>
  <c r="M120" i="5"/>
  <c r="L120" i="5"/>
  <c r="K120" i="5"/>
  <c r="J120" i="5"/>
  <c r="I120" i="5"/>
  <c r="H120" i="5"/>
  <c r="G120" i="5"/>
  <c r="F120" i="5"/>
  <c r="E120" i="5"/>
  <c r="D120" i="5"/>
  <c r="C120" i="5"/>
  <c r="V119" i="5"/>
  <c r="U119" i="5"/>
  <c r="T119" i="5"/>
  <c r="S119" i="5"/>
  <c r="R119" i="5"/>
  <c r="Q119" i="5"/>
  <c r="P119" i="5"/>
  <c r="O119" i="5"/>
  <c r="N119" i="5"/>
  <c r="M119" i="5"/>
  <c r="L119" i="5"/>
  <c r="K119" i="5"/>
  <c r="J119" i="5"/>
  <c r="I119" i="5"/>
  <c r="H119" i="5"/>
  <c r="G119" i="5"/>
  <c r="F119" i="5"/>
  <c r="E119" i="5"/>
  <c r="D119" i="5"/>
  <c r="C119" i="5"/>
  <c r="V118" i="5"/>
  <c r="U118" i="5"/>
  <c r="T118" i="5"/>
  <c r="S118" i="5"/>
  <c r="R118" i="5"/>
  <c r="Q118" i="5"/>
  <c r="P118" i="5"/>
  <c r="O118" i="5"/>
  <c r="N118" i="5"/>
  <c r="M118" i="5"/>
  <c r="L118" i="5"/>
  <c r="K118" i="5"/>
  <c r="J118" i="5"/>
  <c r="I118" i="5"/>
  <c r="H118" i="5"/>
  <c r="G118" i="5"/>
  <c r="F118" i="5"/>
  <c r="E118" i="5"/>
  <c r="D118" i="5"/>
  <c r="C118" i="5"/>
  <c r="V117" i="5"/>
  <c r="U117" i="5"/>
  <c r="T117" i="5"/>
  <c r="S117" i="5"/>
  <c r="R117" i="5"/>
  <c r="Q117" i="5"/>
  <c r="P117" i="5"/>
  <c r="O117" i="5"/>
  <c r="N117" i="5"/>
  <c r="M117" i="5"/>
  <c r="L117" i="5"/>
  <c r="K117" i="5"/>
  <c r="J117" i="5"/>
  <c r="I117" i="5"/>
  <c r="H117" i="5"/>
  <c r="G117" i="5"/>
  <c r="F117" i="5"/>
  <c r="E117" i="5"/>
  <c r="D117" i="5"/>
  <c r="C117" i="5"/>
  <c r="V116" i="5"/>
  <c r="U116" i="5"/>
  <c r="T116" i="5"/>
  <c r="S116" i="5"/>
  <c r="R116" i="5"/>
  <c r="Q116" i="5"/>
  <c r="P116" i="5"/>
  <c r="O116" i="5"/>
  <c r="N116" i="5"/>
  <c r="M116" i="5"/>
  <c r="L116" i="5"/>
  <c r="K116" i="5"/>
  <c r="J116" i="5"/>
  <c r="I116" i="5"/>
  <c r="H116" i="5"/>
  <c r="G116" i="5"/>
  <c r="F116" i="5"/>
  <c r="E116" i="5"/>
  <c r="D116" i="5"/>
  <c r="C116" i="5"/>
  <c r="V115" i="5"/>
  <c r="U115" i="5"/>
  <c r="T115" i="5"/>
  <c r="S115" i="5"/>
  <c r="R115" i="5"/>
  <c r="Q115" i="5"/>
  <c r="P115" i="5"/>
  <c r="O115" i="5"/>
  <c r="N115" i="5"/>
  <c r="M115" i="5"/>
  <c r="L115" i="5"/>
  <c r="K115" i="5"/>
  <c r="J115" i="5"/>
  <c r="I115" i="5"/>
  <c r="H115" i="5"/>
  <c r="G115" i="5"/>
  <c r="F115" i="5"/>
  <c r="E115" i="5"/>
  <c r="D115" i="5"/>
  <c r="C115" i="5"/>
  <c r="V114" i="5"/>
  <c r="U114" i="5"/>
  <c r="T114" i="5"/>
  <c r="S114" i="5"/>
  <c r="R114" i="5"/>
  <c r="Q114" i="5"/>
  <c r="P114" i="5"/>
  <c r="O114" i="5"/>
  <c r="N114" i="5"/>
  <c r="M114" i="5"/>
  <c r="L114" i="5"/>
  <c r="K114" i="5"/>
  <c r="J114" i="5"/>
  <c r="I114" i="5"/>
  <c r="H114" i="5"/>
  <c r="G114" i="5"/>
  <c r="F114" i="5"/>
  <c r="E114" i="5"/>
  <c r="D114" i="5"/>
  <c r="C114" i="5"/>
  <c r="V113" i="5"/>
  <c r="U113" i="5"/>
  <c r="T113" i="5"/>
  <c r="S113" i="5"/>
  <c r="R113" i="5"/>
  <c r="Q113" i="5"/>
  <c r="P113" i="5"/>
  <c r="O113" i="5"/>
  <c r="N113" i="5"/>
  <c r="M113" i="5"/>
  <c r="L113" i="5"/>
  <c r="K113" i="5"/>
  <c r="J113" i="5"/>
  <c r="I113" i="5"/>
  <c r="H113" i="5"/>
  <c r="G113" i="5"/>
  <c r="F113" i="5"/>
  <c r="E113" i="5"/>
  <c r="D113" i="5"/>
  <c r="C113" i="5"/>
  <c r="V112" i="5"/>
  <c r="U112" i="5"/>
  <c r="T112" i="5"/>
  <c r="S112" i="5"/>
  <c r="R112" i="5"/>
  <c r="Q112" i="5"/>
  <c r="P112" i="5"/>
  <c r="O112" i="5"/>
  <c r="N112" i="5"/>
  <c r="M112" i="5"/>
  <c r="L112" i="5"/>
  <c r="K112" i="5"/>
  <c r="J112" i="5"/>
  <c r="I112" i="5"/>
  <c r="H112" i="5"/>
  <c r="G112" i="5"/>
  <c r="F112" i="5"/>
  <c r="E112" i="5"/>
  <c r="D112" i="5"/>
  <c r="C112" i="5"/>
  <c r="V111" i="5"/>
  <c r="U111" i="5"/>
  <c r="T111" i="5"/>
  <c r="S111" i="5"/>
  <c r="R111" i="5"/>
  <c r="Q111" i="5"/>
  <c r="P111" i="5"/>
  <c r="O111" i="5"/>
  <c r="N111" i="5"/>
  <c r="M111" i="5"/>
  <c r="L111" i="5"/>
  <c r="K111" i="5"/>
  <c r="J111" i="5"/>
  <c r="I111" i="5"/>
  <c r="H111" i="5"/>
  <c r="G111" i="5"/>
  <c r="F111" i="5"/>
  <c r="E111" i="5"/>
  <c r="D111" i="5"/>
  <c r="C111" i="5"/>
  <c r="V110" i="5"/>
  <c r="U110" i="5"/>
  <c r="T110" i="5"/>
  <c r="S110" i="5"/>
  <c r="R110" i="5"/>
  <c r="Q110" i="5"/>
  <c r="P110" i="5"/>
  <c r="O110" i="5"/>
  <c r="N110" i="5"/>
  <c r="M110" i="5"/>
  <c r="L110" i="5"/>
  <c r="K110" i="5"/>
  <c r="J110" i="5"/>
  <c r="I110" i="5"/>
  <c r="H110" i="5"/>
  <c r="G110" i="5"/>
  <c r="F110" i="5"/>
  <c r="E110" i="5"/>
  <c r="D110" i="5"/>
  <c r="C110" i="5"/>
  <c r="V109" i="5"/>
  <c r="U109" i="5"/>
  <c r="T109" i="5"/>
  <c r="S109" i="5"/>
  <c r="R109" i="5"/>
  <c r="Q109" i="5"/>
  <c r="P109" i="5"/>
  <c r="O109" i="5"/>
  <c r="N109" i="5"/>
  <c r="M109" i="5"/>
  <c r="L109" i="5"/>
  <c r="K109" i="5"/>
  <c r="J109" i="5"/>
  <c r="I109" i="5"/>
  <c r="H109" i="5"/>
  <c r="G109" i="5"/>
  <c r="F109" i="5"/>
  <c r="E109" i="5"/>
  <c r="D109" i="5"/>
  <c r="C109" i="5"/>
  <c r="V108" i="5"/>
  <c r="U108" i="5"/>
  <c r="T108" i="5"/>
  <c r="S108" i="5"/>
  <c r="R108" i="5"/>
  <c r="Q108" i="5"/>
  <c r="P108" i="5"/>
  <c r="O108" i="5"/>
  <c r="N108" i="5"/>
  <c r="M108" i="5"/>
  <c r="L108" i="5"/>
  <c r="K108" i="5"/>
  <c r="J108" i="5"/>
  <c r="I108" i="5"/>
  <c r="H108" i="5"/>
  <c r="G108" i="5"/>
  <c r="F108" i="5"/>
  <c r="E108" i="5"/>
  <c r="D108" i="5"/>
  <c r="C108" i="5"/>
  <c r="V107" i="5"/>
  <c r="U107" i="5"/>
  <c r="T107" i="5"/>
  <c r="S107" i="5"/>
  <c r="R107" i="5"/>
  <c r="Q107" i="5"/>
  <c r="P107" i="5"/>
  <c r="O107" i="5"/>
  <c r="N107" i="5"/>
  <c r="M107" i="5"/>
  <c r="L107" i="5"/>
  <c r="K107" i="5"/>
  <c r="J107" i="5"/>
  <c r="I107" i="5"/>
  <c r="H107" i="5"/>
  <c r="G107" i="5"/>
  <c r="F107" i="5"/>
  <c r="E107" i="5"/>
  <c r="D107" i="5"/>
  <c r="C107" i="5"/>
  <c r="V106" i="5"/>
  <c r="U106" i="5"/>
  <c r="T106" i="5"/>
  <c r="S106" i="5"/>
  <c r="R106" i="5"/>
  <c r="Q106" i="5"/>
  <c r="P106" i="5"/>
  <c r="O106" i="5"/>
  <c r="N106" i="5"/>
  <c r="M106" i="5"/>
  <c r="L106" i="5"/>
  <c r="K106" i="5"/>
  <c r="J106" i="5"/>
  <c r="I106" i="5"/>
  <c r="H106" i="5"/>
  <c r="G106" i="5"/>
  <c r="F106" i="5"/>
  <c r="E106" i="5"/>
  <c r="D106" i="5"/>
  <c r="C106" i="5"/>
  <c r="V105" i="5"/>
  <c r="U105" i="5"/>
  <c r="T105" i="5"/>
  <c r="S105" i="5"/>
  <c r="R105" i="5"/>
  <c r="Q105" i="5"/>
  <c r="P105" i="5"/>
  <c r="O105" i="5"/>
  <c r="N105" i="5"/>
  <c r="M105" i="5"/>
  <c r="L105" i="5"/>
  <c r="K105" i="5"/>
  <c r="J105" i="5"/>
  <c r="I105" i="5"/>
  <c r="H105" i="5"/>
  <c r="G105" i="5"/>
  <c r="F105" i="5"/>
  <c r="E105" i="5"/>
  <c r="D105" i="5"/>
  <c r="C105" i="5"/>
  <c r="V104" i="5"/>
  <c r="U104" i="5"/>
  <c r="T104" i="5"/>
  <c r="S104" i="5"/>
  <c r="R104" i="5"/>
  <c r="Q104" i="5"/>
  <c r="P104" i="5"/>
  <c r="O104" i="5"/>
  <c r="N104" i="5"/>
  <c r="M104" i="5"/>
  <c r="L104" i="5"/>
  <c r="K104" i="5"/>
  <c r="J104" i="5"/>
  <c r="I104" i="5"/>
  <c r="H104" i="5"/>
  <c r="G104" i="5"/>
  <c r="F104" i="5"/>
  <c r="E104" i="5"/>
  <c r="D104" i="5"/>
  <c r="C104" i="5"/>
  <c r="V103" i="5"/>
  <c r="U103" i="5"/>
  <c r="T103" i="5"/>
  <c r="S103" i="5"/>
  <c r="R103" i="5"/>
  <c r="Q103" i="5"/>
  <c r="P103" i="5"/>
  <c r="O103" i="5"/>
  <c r="N103" i="5"/>
  <c r="M103" i="5"/>
  <c r="L103" i="5"/>
  <c r="K103" i="5"/>
  <c r="J103" i="5"/>
  <c r="I103" i="5"/>
  <c r="H103" i="5"/>
  <c r="G103" i="5"/>
  <c r="F103" i="5"/>
  <c r="E103" i="5"/>
  <c r="D103" i="5"/>
  <c r="C103" i="5"/>
  <c r="V102" i="5"/>
  <c r="U102" i="5"/>
  <c r="T102" i="5"/>
  <c r="S102" i="5"/>
  <c r="R102" i="5"/>
  <c r="Q102" i="5"/>
  <c r="P102" i="5"/>
  <c r="O102" i="5"/>
  <c r="N102" i="5"/>
  <c r="M102" i="5"/>
  <c r="L102" i="5"/>
  <c r="K102" i="5"/>
  <c r="J102" i="5"/>
  <c r="I102" i="5"/>
  <c r="H102" i="5"/>
  <c r="G102" i="5"/>
  <c r="F102" i="5"/>
  <c r="E102" i="5"/>
  <c r="D102" i="5"/>
  <c r="C102" i="5"/>
  <c r="V101" i="5"/>
  <c r="U101" i="5"/>
  <c r="T101" i="5"/>
  <c r="S101" i="5"/>
  <c r="R101" i="5"/>
  <c r="Q101" i="5"/>
  <c r="P101" i="5"/>
  <c r="O101" i="5"/>
  <c r="N101" i="5"/>
  <c r="M101" i="5"/>
  <c r="L101" i="5"/>
  <c r="K101" i="5"/>
  <c r="J101" i="5"/>
  <c r="I101" i="5"/>
  <c r="H101" i="5"/>
  <c r="G101" i="5"/>
  <c r="F101" i="5"/>
  <c r="E101" i="5"/>
  <c r="D101" i="5"/>
  <c r="C101" i="5"/>
  <c r="V100" i="5"/>
  <c r="U100" i="5"/>
  <c r="T100" i="5"/>
  <c r="S100" i="5"/>
  <c r="R100" i="5"/>
  <c r="Q100" i="5"/>
  <c r="P100" i="5"/>
  <c r="O100" i="5"/>
  <c r="N100" i="5"/>
  <c r="M100" i="5"/>
  <c r="L100" i="5"/>
  <c r="K100" i="5"/>
  <c r="J100" i="5"/>
  <c r="I100" i="5"/>
  <c r="H100" i="5"/>
  <c r="G100" i="5"/>
  <c r="F100" i="5"/>
  <c r="E100" i="5"/>
  <c r="D100" i="5"/>
  <c r="C100" i="5"/>
  <c r="V99" i="5"/>
  <c r="U99" i="5"/>
  <c r="T99" i="5"/>
  <c r="S99" i="5"/>
  <c r="R99" i="5"/>
  <c r="Q99" i="5"/>
  <c r="P99" i="5"/>
  <c r="O99" i="5"/>
  <c r="N99" i="5"/>
  <c r="M99" i="5"/>
  <c r="L99" i="5"/>
  <c r="K99" i="5"/>
  <c r="J99" i="5"/>
  <c r="I99" i="5"/>
  <c r="H99" i="5"/>
  <c r="G99" i="5"/>
  <c r="F99" i="5"/>
  <c r="E99" i="5"/>
  <c r="D99" i="5"/>
  <c r="C99" i="5"/>
  <c r="V98" i="5"/>
  <c r="U98" i="5"/>
  <c r="T98" i="5"/>
  <c r="S98" i="5"/>
  <c r="R98" i="5"/>
  <c r="Q98" i="5"/>
  <c r="P98" i="5"/>
  <c r="O98" i="5"/>
  <c r="N98" i="5"/>
  <c r="M98" i="5"/>
  <c r="L98" i="5"/>
  <c r="K98" i="5"/>
  <c r="J98" i="5"/>
  <c r="I98" i="5"/>
  <c r="H98" i="5"/>
  <c r="G98" i="5"/>
  <c r="F98" i="5"/>
  <c r="E98" i="5"/>
  <c r="D98" i="5"/>
  <c r="C98" i="5"/>
  <c r="V97" i="5"/>
  <c r="U97" i="5"/>
  <c r="T97" i="5"/>
  <c r="S97" i="5"/>
  <c r="R97" i="5"/>
  <c r="Q97" i="5"/>
  <c r="P97" i="5"/>
  <c r="O97" i="5"/>
  <c r="N97" i="5"/>
  <c r="M97" i="5"/>
  <c r="L97" i="5"/>
  <c r="K97" i="5"/>
  <c r="J97" i="5"/>
  <c r="I97" i="5"/>
  <c r="H97" i="5"/>
  <c r="G97" i="5"/>
  <c r="F97" i="5"/>
  <c r="E97" i="5"/>
  <c r="D97" i="5"/>
  <c r="C97" i="5"/>
  <c r="V96" i="5"/>
  <c r="U96" i="5"/>
  <c r="T96" i="5"/>
  <c r="S96" i="5"/>
  <c r="R96" i="5"/>
  <c r="Q96" i="5"/>
  <c r="P96" i="5"/>
  <c r="O96" i="5"/>
  <c r="N96" i="5"/>
  <c r="M96" i="5"/>
  <c r="L96" i="5"/>
  <c r="K96" i="5"/>
  <c r="J96" i="5"/>
  <c r="I96" i="5"/>
  <c r="H96" i="5"/>
  <c r="G96" i="5"/>
  <c r="F96" i="5"/>
  <c r="E96" i="5"/>
  <c r="D96" i="5"/>
  <c r="C96" i="5"/>
  <c r="V95" i="5"/>
  <c r="U95" i="5"/>
  <c r="T95" i="5"/>
  <c r="S95" i="5"/>
  <c r="R95" i="5"/>
  <c r="Q95" i="5"/>
  <c r="P95" i="5"/>
  <c r="O95" i="5"/>
  <c r="N95" i="5"/>
  <c r="M95" i="5"/>
  <c r="L95" i="5"/>
  <c r="K95" i="5"/>
  <c r="J95" i="5"/>
  <c r="I95" i="5"/>
  <c r="H95" i="5"/>
  <c r="G95" i="5"/>
  <c r="F95" i="5"/>
  <c r="E95" i="5"/>
  <c r="D95" i="5"/>
  <c r="C95" i="5"/>
  <c r="V94" i="5"/>
  <c r="U94" i="5"/>
  <c r="T94" i="5"/>
  <c r="S94" i="5"/>
  <c r="R94" i="5"/>
  <c r="Q94" i="5"/>
  <c r="P94" i="5"/>
  <c r="O94" i="5"/>
  <c r="N94" i="5"/>
  <c r="M94" i="5"/>
  <c r="L94" i="5"/>
  <c r="K94" i="5"/>
  <c r="J94" i="5"/>
  <c r="I94" i="5"/>
  <c r="H94" i="5"/>
  <c r="G94" i="5"/>
  <c r="F94" i="5"/>
  <c r="E94" i="5"/>
  <c r="D94" i="5"/>
  <c r="C94" i="5"/>
  <c r="V93" i="5"/>
  <c r="U93" i="5"/>
  <c r="T93" i="5"/>
  <c r="S93" i="5"/>
  <c r="R93" i="5"/>
  <c r="Q93" i="5"/>
  <c r="P93" i="5"/>
  <c r="O93" i="5"/>
  <c r="N93" i="5"/>
  <c r="M93" i="5"/>
  <c r="L93" i="5"/>
  <c r="K93" i="5"/>
  <c r="J93" i="5"/>
  <c r="I93" i="5"/>
  <c r="H93" i="5"/>
  <c r="G93" i="5"/>
  <c r="F93" i="5"/>
  <c r="E93" i="5"/>
  <c r="D93" i="5"/>
  <c r="C93" i="5"/>
  <c r="V92" i="5"/>
  <c r="U92" i="5"/>
  <c r="T92" i="5"/>
  <c r="S92" i="5"/>
  <c r="R92" i="5"/>
  <c r="Q92" i="5"/>
  <c r="P92" i="5"/>
  <c r="O92" i="5"/>
  <c r="N92" i="5"/>
  <c r="M92" i="5"/>
  <c r="L92" i="5"/>
  <c r="K92" i="5"/>
  <c r="J92" i="5"/>
  <c r="I92" i="5"/>
  <c r="H92" i="5"/>
  <c r="G92" i="5"/>
  <c r="F92" i="5"/>
  <c r="E92" i="5"/>
  <c r="D92" i="5"/>
  <c r="C92" i="5"/>
  <c r="V91" i="5"/>
  <c r="U91" i="5"/>
  <c r="T91" i="5"/>
  <c r="S91" i="5"/>
  <c r="R91" i="5"/>
  <c r="Q91" i="5"/>
  <c r="P91" i="5"/>
  <c r="O91" i="5"/>
  <c r="N91" i="5"/>
  <c r="M91" i="5"/>
  <c r="L91" i="5"/>
  <c r="K91" i="5"/>
  <c r="J91" i="5"/>
  <c r="I91" i="5"/>
  <c r="H91" i="5"/>
  <c r="G91" i="5"/>
  <c r="F91" i="5"/>
  <c r="E91" i="5"/>
  <c r="D91" i="5"/>
  <c r="C91" i="5"/>
  <c r="V90" i="5"/>
  <c r="U90" i="5"/>
  <c r="T90" i="5"/>
  <c r="S90" i="5"/>
  <c r="R90" i="5"/>
  <c r="Q90" i="5"/>
  <c r="P90" i="5"/>
  <c r="O90" i="5"/>
  <c r="N90" i="5"/>
  <c r="M90" i="5"/>
  <c r="L90" i="5"/>
  <c r="K90" i="5"/>
  <c r="J90" i="5"/>
  <c r="I90" i="5"/>
  <c r="H90" i="5"/>
  <c r="G90" i="5"/>
  <c r="F90" i="5"/>
  <c r="E90" i="5"/>
  <c r="D90" i="5"/>
  <c r="C90" i="5"/>
  <c r="V89" i="5"/>
  <c r="U89" i="5"/>
  <c r="T89" i="5"/>
  <c r="S89" i="5"/>
  <c r="R89" i="5"/>
  <c r="Q89" i="5"/>
  <c r="P89" i="5"/>
  <c r="O89" i="5"/>
  <c r="N89" i="5"/>
  <c r="M89" i="5"/>
  <c r="L89" i="5"/>
  <c r="K89" i="5"/>
  <c r="J89" i="5"/>
  <c r="I89" i="5"/>
  <c r="H89" i="5"/>
  <c r="G89" i="5"/>
  <c r="F89" i="5"/>
  <c r="E89" i="5"/>
  <c r="D89" i="5"/>
  <c r="C89" i="5"/>
  <c r="V88" i="5"/>
  <c r="U88" i="5"/>
  <c r="T88" i="5"/>
  <c r="S88" i="5"/>
  <c r="R88" i="5"/>
  <c r="Q88" i="5"/>
  <c r="P88" i="5"/>
  <c r="O88" i="5"/>
  <c r="N88" i="5"/>
  <c r="M88" i="5"/>
  <c r="L88" i="5"/>
  <c r="K88" i="5"/>
  <c r="J88" i="5"/>
  <c r="I88" i="5"/>
  <c r="H88" i="5"/>
  <c r="G88" i="5"/>
  <c r="F88" i="5"/>
  <c r="E88" i="5"/>
  <c r="D88" i="5"/>
  <c r="C88" i="5"/>
  <c r="V87" i="5"/>
  <c r="U87" i="5"/>
  <c r="T87" i="5"/>
  <c r="S87" i="5"/>
  <c r="R87" i="5"/>
  <c r="Q87" i="5"/>
  <c r="P87" i="5"/>
  <c r="O87" i="5"/>
  <c r="N87" i="5"/>
  <c r="M87" i="5"/>
  <c r="L87" i="5"/>
  <c r="K87" i="5"/>
  <c r="J87" i="5"/>
  <c r="I87" i="5"/>
  <c r="H87" i="5"/>
  <c r="G87" i="5"/>
  <c r="F87" i="5"/>
  <c r="E87" i="5"/>
  <c r="D87" i="5"/>
  <c r="C87" i="5"/>
  <c r="V86" i="5"/>
  <c r="U86" i="5"/>
  <c r="T86" i="5"/>
  <c r="S86" i="5"/>
  <c r="R86" i="5"/>
  <c r="Q86" i="5"/>
  <c r="P86" i="5"/>
  <c r="O86" i="5"/>
  <c r="N86" i="5"/>
  <c r="M86" i="5"/>
  <c r="L86" i="5"/>
  <c r="K86" i="5"/>
  <c r="J86" i="5"/>
  <c r="I86" i="5"/>
  <c r="H86" i="5"/>
  <c r="G86" i="5"/>
  <c r="F86" i="5"/>
  <c r="E86" i="5"/>
  <c r="D86" i="5"/>
  <c r="C86" i="5"/>
  <c r="V85" i="5"/>
  <c r="U85" i="5"/>
  <c r="T85" i="5"/>
  <c r="S85" i="5"/>
  <c r="R85" i="5"/>
  <c r="Q85" i="5"/>
  <c r="P85" i="5"/>
  <c r="O85" i="5"/>
  <c r="N85" i="5"/>
  <c r="M85" i="5"/>
  <c r="L85" i="5"/>
  <c r="K85" i="5"/>
  <c r="J85" i="5"/>
  <c r="I85" i="5"/>
  <c r="H85" i="5"/>
  <c r="G85" i="5"/>
  <c r="F85" i="5"/>
  <c r="E85" i="5"/>
  <c r="D85" i="5"/>
  <c r="C85" i="5"/>
  <c r="V84" i="5"/>
  <c r="U84" i="5"/>
  <c r="T84" i="5"/>
  <c r="S84" i="5"/>
  <c r="R84" i="5"/>
  <c r="Q84" i="5"/>
  <c r="P84" i="5"/>
  <c r="O84" i="5"/>
  <c r="N84" i="5"/>
  <c r="M84" i="5"/>
  <c r="L84" i="5"/>
  <c r="K84" i="5"/>
  <c r="J84" i="5"/>
  <c r="I84" i="5"/>
  <c r="H84" i="5"/>
  <c r="G84" i="5"/>
  <c r="F84" i="5"/>
  <c r="E84" i="5"/>
  <c r="D84" i="5"/>
  <c r="C84" i="5"/>
  <c r="V83" i="5"/>
  <c r="U83" i="5"/>
  <c r="T83" i="5"/>
  <c r="S83" i="5"/>
  <c r="R83" i="5"/>
  <c r="Q83" i="5"/>
  <c r="P83" i="5"/>
  <c r="O83" i="5"/>
  <c r="N83" i="5"/>
  <c r="M83" i="5"/>
  <c r="L83" i="5"/>
  <c r="K83" i="5"/>
  <c r="J83" i="5"/>
  <c r="I83" i="5"/>
  <c r="H83" i="5"/>
  <c r="G83" i="5"/>
  <c r="F83" i="5"/>
  <c r="E83" i="5"/>
  <c r="D83" i="5"/>
  <c r="V40" i="5"/>
  <c r="U40" i="5"/>
  <c r="T40" i="5"/>
  <c r="S40" i="5"/>
  <c r="R40" i="5"/>
  <c r="Q40" i="5"/>
  <c r="P40" i="5"/>
  <c r="O40" i="5"/>
  <c r="N40" i="5"/>
  <c r="M40" i="5"/>
  <c r="L40" i="5"/>
  <c r="K40" i="5"/>
  <c r="J40" i="5"/>
  <c r="I40" i="5"/>
  <c r="H40" i="5"/>
  <c r="G40" i="5"/>
  <c r="F40" i="5"/>
  <c r="E40" i="5"/>
  <c r="D40" i="5"/>
  <c r="C40" i="5"/>
  <c r="C84" i="2"/>
  <c r="D84" i="2"/>
  <c r="E84" i="2"/>
  <c r="F84" i="2"/>
  <c r="G84" i="2"/>
  <c r="H84" i="2"/>
  <c r="I84" i="2"/>
  <c r="J84" i="2"/>
  <c r="K84" i="2"/>
  <c r="L84" i="2"/>
  <c r="M84" i="2"/>
  <c r="N84" i="2"/>
  <c r="O84" i="2"/>
  <c r="P84" i="2"/>
  <c r="Q84" i="2"/>
  <c r="R84" i="2"/>
  <c r="S84" i="2"/>
  <c r="T84" i="2"/>
  <c r="U84" i="2"/>
  <c r="V84" i="2"/>
  <c r="C85" i="2"/>
  <c r="D85" i="2"/>
  <c r="E85" i="2"/>
  <c r="F85" i="2"/>
  <c r="G85" i="2"/>
  <c r="H85" i="2"/>
  <c r="I85" i="2"/>
  <c r="J85" i="2"/>
  <c r="K85" i="2"/>
  <c r="L85" i="2"/>
  <c r="M85" i="2"/>
  <c r="N85" i="2"/>
  <c r="O85" i="2"/>
  <c r="P85" i="2"/>
  <c r="Q85" i="2"/>
  <c r="R85" i="2"/>
  <c r="S85" i="2"/>
  <c r="T85" i="2"/>
  <c r="U85" i="2"/>
  <c r="V85" i="2"/>
  <c r="C86" i="2"/>
  <c r="C167" i="2" s="1"/>
  <c r="D86" i="2"/>
  <c r="D167" i="2" s="1"/>
  <c r="E86" i="2"/>
  <c r="E167" i="2" s="1"/>
  <c r="F86" i="2"/>
  <c r="F167" i="2" s="1"/>
  <c r="G86" i="2"/>
  <c r="G167" i="2" s="1"/>
  <c r="H86" i="2"/>
  <c r="H167" i="2" s="1"/>
  <c r="I86" i="2"/>
  <c r="J86" i="2"/>
  <c r="K86" i="2"/>
  <c r="L86" i="2"/>
  <c r="M86" i="2"/>
  <c r="N86" i="2"/>
  <c r="O86" i="2"/>
  <c r="P86" i="2"/>
  <c r="Q86" i="2"/>
  <c r="R86" i="2"/>
  <c r="S86" i="2"/>
  <c r="T86" i="2"/>
  <c r="U86" i="2"/>
  <c r="V86" i="2"/>
  <c r="C87" i="2"/>
  <c r="C168" i="2" s="1"/>
  <c r="D87" i="2"/>
  <c r="D168" i="2" s="1"/>
  <c r="E87" i="2"/>
  <c r="E168" i="2" s="1"/>
  <c r="F87" i="2"/>
  <c r="F168" i="2" s="1"/>
  <c r="G87" i="2"/>
  <c r="G168" i="2" s="1"/>
  <c r="H87" i="2"/>
  <c r="H168" i="2" s="1"/>
  <c r="I87" i="2"/>
  <c r="J87" i="2"/>
  <c r="K87" i="2"/>
  <c r="L87" i="2"/>
  <c r="M87" i="2"/>
  <c r="N87" i="2"/>
  <c r="O87" i="2"/>
  <c r="P87" i="2"/>
  <c r="Q87" i="2"/>
  <c r="R87" i="2"/>
  <c r="S87" i="2"/>
  <c r="T87" i="2"/>
  <c r="U87" i="2"/>
  <c r="V87" i="2"/>
  <c r="C88" i="2"/>
  <c r="C169" i="2" s="1"/>
  <c r="D88" i="2"/>
  <c r="D169" i="2" s="1"/>
  <c r="E88" i="2"/>
  <c r="E169" i="2" s="1"/>
  <c r="F88" i="2"/>
  <c r="F169" i="2" s="1"/>
  <c r="G88" i="2"/>
  <c r="G169" i="2" s="1"/>
  <c r="H88" i="2"/>
  <c r="H169" i="2" s="1"/>
  <c r="I88" i="2"/>
  <c r="J88" i="2"/>
  <c r="K88" i="2"/>
  <c r="L88" i="2"/>
  <c r="M88" i="2"/>
  <c r="N88" i="2"/>
  <c r="O88" i="2"/>
  <c r="P88" i="2"/>
  <c r="Q88" i="2"/>
  <c r="R88" i="2"/>
  <c r="S88" i="2"/>
  <c r="T88" i="2"/>
  <c r="U88" i="2"/>
  <c r="V88" i="2"/>
  <c r="C89" i="2"/>
  <c r="C170" i="2" s="1"/>
  <c r="D89" i="2"/>
  <c r="D170" i="2" s="1"/>
  <c r="E89" i="2"/>
  <c r="E170" i="2" s="1"/>
  <c r="F89" i="2"/>
  <c r="F170" i="2" s="1"/>
  <c r="G89" i="2"/>
  <c r="G170" i="2" s="1"/>
  <c r="H89" i="2"/>
  <c r="H170" i="2" s="1"/>
  <c r="I89" i="2"/>
  <c r="J89" i="2"/>
  <c r="K89" i="2"/>
  <c r="L89" i="2"/>
  <c r="M89" i="2"/>
  <c r="N89" i="2"/>
  <c r="O89" i="2"/>
  <c r="P89" i="2"/>
  <c r="Q89" i="2"/>
  <c r="R89" i="2"/>
  <c r="S89" i="2"/>
  <c r="T89" i="2"/>
  <c r="U89" i="2"/>
  <c r="V89" i="2"/>
  <c r="C90" i="2"/>
  <c r="C171" i="2" s="1"/>
  <c r="D90" i="2"/>
  <c r="D171" i="2" s="1"/>
  <c r="E90" i="2"/>
  <c r="E171" i="2" s="1"/>
  <c r="F90" i="2"/>
  <c r="F171" i="2" s="1"/>
  <c r="G90" i="2"/>
  <c r="G171" i="2" s="1"/>
  <c r="H90" i="2"/>
  <c r="H171" i="2" s="1"/>
  <c r="I90" i="2"/>
  <c r="J90" i="2"/>
  <c r="K90" i="2"/>
  <c r="L90" i="2"/>
  <c r="M90" i="2"/>
  <c r="N90" i="2"/>
  <c r="O90" i="2"/>
  <c r="P90" i="2"/>
  <c r="Q90" i="2"/>
  <c r="R90" i="2"/>
  <c r="S90" i="2"/>
  <c r="T90" i="2"/>
  <c r="U90" i="2"/>
  <c r="V90" i="2"/>
  <c r="C91" i="2"/>
  <c r="C172" i="2" s="1"/>
  <c r="D91" i="2"/>
  <c r="D172" i="2" s="1"/>
  <c r="E91" i="2"/>
  <c r="E172" i="2" s="1"/>
  <c r="F91" i="2"/>
  <c r="F172" i="2" s="1"/>
  <c r="G91" i="2"/>
  <c r="G172" i="2" s="1"/>
  <c r="H91" i="2"/>
  <c r="H172" i="2" s="1"/>
  <c r="I91" i="2"/>
  <c r="J91" i="2"/>
  <c r="K91" i="2"/>
  <c r="L91" i="2"/>
  <c r="M91" i="2"/>
  <c r="N91" i="2"/>
  <c r="O91" i="2"/>
  <c r="P91" i="2"/>
  <c r="Q91" i="2"/>
  <c r="R91" i="2"/>
  <c r="S91" i="2"/>
  <c r="T91" i="2"/>
  <c r="U91" i="2"/>
  <c r="V91" i="2"/>
  <c r="C92" i="2"/>
  <c r="C173" i="2" s="1"/>
  <c r="D92" i="2"/>
  <c r="D173" i="2" s="1"/>
  <c r="E92" i="2"/>
  <c r="E173" i="2" s="1"/>
  <c r="F92" i="2"/>
  <c r="F173" i="2" s="1"/>
  <c r="G92" i="2"/>
  <c r="G173" i="2" s="1"/>
  <c r="H92" i="2"/>
  <c r="H173" i="2" s="1"/>
  <c r="I92" i="2"/>
  <c r="J92" i="2"/>
  <c r="K92" i="2"/>
  <c r="L92" i="2"/>
  <c r="M92" i="2"/>
  <c r="N92" i="2"/>
  <c r="O92" i="2"/>
  <c r="P92" i="2"/>
  <c r="Q92" i="2"/>
  <c r="R92" i="2"/>
  <c r="S92" i="2"/>
  <c r="T92" i="2"/>
  <c r="U92" i="2"/>
  <c r="V92" i="2"/>
  <c r="C93" i="2"/>
  <c r="C174" i="2" s="1"/>
  <c r="D93" i="2"/>
  <c r="D174" i="2" s="1"/>
  <c r="E93" i="2"/>
  <c r="E174" i="2" s="1"/>
  <c r="F93" i="2"/>
  <c r="F174" i="2" s="1"/>
  <c r="G93" i="2"/>
  <c r="G174" i="2" s="1"/>
  <c r="H93" i="2"/>
  <c r="H174" i="2" s="1"/>
  <c r="I93" i="2"/>
  <c r="J93" i="2"/>
  <c r="K93" i="2"/>
  <c r="L93" i="2"/>
  <c r="M93" i="2"/>
  <c r="N93" i="2"/>
  <c r="O93" i="2"/>
  <c r="P93" i="2"/>
  <c r="Q93" i="2"/>
  <c r="R93" i="2"/>
  <c r="S93" i="2"/>
  <c r="T93" i="2"/>
  <c r="U93" i="2"/>
  <c r="V93" i="2"/>
  <c r="C94" i="2"/>
  <c r="C175" i="2" s="1"/>
  <c r="D94" i="2"/>
  <c r="D175" i="2" s="1"/>
  <c r="E94" i="2"/>
  <c r="E175" i="2" s="1"/>
  <c r="F94" i="2"/>
  <c r="F175" i="2" s="1"/>
  <c r="G94" i="2"/>
  <c r="G175" i="2" s="1"/>
  <c r="H94" i="2"/>
  <c r="H175" i="2" s="1"/>
  <c r="I94" i="2"/>
  <c r="J94" i="2"/>
  <c r="K94" i="2"/>
  <c r="L94" i="2"/>
  <c r="M94" i="2"/>
  <c r="N94" i="2"/>
  <c r="O94" i="2"/>
  <c r="P94" i="2"/>
  <c r="Q94" i="2"/>
  <c r="R94" i="2"/>
  <c r="S94" i="2"/>
  <c r="T94" i="2"/>
  <c r="U94" i="2"/>
  <c r="V94" i="2"/>
  <c r="C95" i="2"/>
  <c r="C176" i="2" s="1"/>
  <c r="D95" i="2"/>
  <c r="D176" i="2" s="1"/>
  <c r="E95" i="2"/>
  <c r="E176" i="2" s="1"/>
  <c r="F95" i="2"/>
  <c r="F176" i="2" s="1"/>
  <c r="G95" i="2"/>
  <c r="G176" i="2" s="1"/>
  <c r="H95" i="2"/>
  <c r="H176" i="2" s="1"/>
  <c r="I95" i="2"/>
  <c r="J95" i="2"/>
  <c r="K95" i="2"/>
  <c r="L95" i="2"/>
  <c r="M95" i="2"/>
  <c r="N95" i="2"/>
  <c r="O95" i="2"/>
  <c r="P95" i="2"/>
  <c r="Q95" i="2"/>
  <c r="R95" i="2"/>
  <c r="S95" i="2"/>
  <c r="T95" i="2"/>
  <c r="U95" i="2"/>
  <c r="V95" i="2"/>
  <c r="C96" i="2"/>
  <c r="C177" i="2" s="1"/>
  <c r="D96" i="2"/>
  <c r="D177" i="2" s="1"/>
  <c r="E96" i="2"/>
  <c r="E177" i="2" s="1"/>
  <c r="F96" i="2"/>
  <c r="F177" i="2" s="1"/>
  <c r="G96" i="2"/>
  <c r="G177" i="2" s="1"/>
  <c r="H96" i="2"/>
  <c r="H177" i="2" s="1"/>
  <c r="I96" i="2"/>
  <c r="J96" i="2"/>
  <c r="K96" i="2"/>
  <c r="L96" i="2"/>
  <c r="M96" i="2"/>
  <c r="N96" i="2"/>
  <c r="O96" i="2"/>
  <c r="P96" i="2"/>
  <c r="Q96" i="2"/>
  <c r="R96" i="2"/>
  <c r="S96" i="2"/>
  <c r="T96" i="2"/>
  <c r="U96" i="2"/>
  <c r="V96" i="2"/>
  <c r="C97" i="2"/>
  <c r="C178" i="2" s="1"/>
  <c r="D97" i="2"/>
  <c r="D178" i="2" s="1"/>
  <c r="E97" i="2"/>
  <c r="E178" i="2" s="1"/>
  <c r="F97" i="2"/>
  <c r="F178" i="2" s="1"/>
  <c r="G97" i="2"/>
  <c r="G178" i="2" s="1"/>
  <c r="H97" i="2"/>
  <c r="H178" i="2" s="1"/>
  <c r="I97" i="2"/>
  <c r="J97" i="2"/>
  <c r="K97" i="2"/>
  <c r="L97" i="2"/>
  <c r="M97" i="2"/>
  <c r="N97" i="2"/>
  <c r="O97" i="2"/>
  <c r="P97" i="2"/>
  <c r="Q97" i="2"/>
  <c r="R97" i="2"/>
  <c r="S97" i="2"/>
  <c r="T97" i="2"/>
  <c r="U97" i="2"/>
  <c r="V97" i="2"/>
  <c r="C98" i="2"/>
  <c r="C179" i="2" s="1"/>
  <c r="D98" i="2"/>
  <c r="D179" i="2" s="1"/>
  <c r="E98" i="2"/>
  <c r="E179" i="2" s="1"/>
  <c r="F98" i="2"/>
  <c r="F179" i="2" s="1"/>
  <c r="G98" i="2"/>
  <c r="G179" i="2" s="1"/>
  <c r="H98" i="2"/>
  <c r="H179" i="2" s="1"/>
  <c r="I98" i="2"/>
  <c r="J98" i="2"/>
  <c r="K98" i="2"/>
  <c r="L98" i="2"/>
  <c r="M98" i="2"/>
  <c r="N98" i="2"/>
  <c r="O98" i="2"/>
  <c r="P98" i="2"/>
  <c r="Q98" i="2"/>
  <c r="R98" i="2"/>
  <c r="S98" i="2"/>
  <c r="T98" i="2"/>
  <c r="U98" i="2"/>
  <c r="V98" i="2"/>
  <c r="C99" i="2"/>
  <c r="C180" i="2" s="1"/>
  <c r="D99" i="2"/>
  <c r="D180" i="2" s="1"/>
  <c r="E99" i="2"/>
  <c r="E180" i="2" s="1"/>
  <c r="F99" i="2"/>
  <c r="F180" i="2" s="1"/>
  <c r="G99" i="2"/>
  <c r="G180" i="2" s="1"/>
  <c r="H99" i="2"/>
  <c r="H180" i="2" s="1"/>
  <c r="I99" i="2"/>
  <c r="J99" i="2"/>
  <c r="K99" i="2"/>
  <c r="L99" i="2"/>
  <c r="M99" i="2"/>
  <c r="N99" i="2"/>
  <c r="O99" i="2"/>
  <c r="P99" i="2"/>
  <c r="Q99" i="2"/>
  <c r="R99" i="2"/>
  <c r="S99" i="2"/>
  <c r="T99" i="2"/>
  <c r="U99" i="2"/>
  <c r="V99" i="2"/>
  <c r="C100" i="2"/>
  <c r="C181" i="2" s="1"/>
  <c r="D100" i="2"/>
  <c r="D181" i="2" s="1"/>
  <c r="E100" i="2"/>
  <c r="E181" i="2" s="1"/>
  <c r="F100" i="2"/>
  <c r="F181" i="2" s="1"/>
  <c r="G100" i="2"/>
  <c r="G181" i="2" s="1"/>
  <c r="H100" i="2"/>
  <c r="H181" i="2" s="1"/>
  <c r="I100" i="2"/>
  <c r="J100" i="2"/>
  <c r="L100" i="2"/>
  <c r="M100" i="2"/>
  <c r="N100" i="2"/>
  <c r="O100" i="2"/>
  <c r="P100" i="2"/>
  <c r="Q100" i="2"/>
  <c r="R100" i="2"/>
  <c r="S100" i="2"/>
  <c r="T100" i="2"/>
  <c r="U100" i="2"/>
  <c r="V100" i="2"/>
  <c r="C101" i="2"/>
  <c r="C182" i="2" s="1"/>
  <c r="D101" i="2"/>
  <c r="D182" i="2" s="1"/>
  <c r="E101" i="2"/>
  <c r="E182" i="2" s="1"/>
  <c r="F101" i="2"/>
  <c r="F182" i="2" s="1"/>
  <c r="G101" i="2"/>
  <c r="G182" i="2" s="1"/>
  <c r="H101" i="2"/>
  <c r="H182" i="2" s="1"/>
  <c r="I101" i="2"/>
  <c r="J101" i="2"/>
  <c r="K101" i="2"/>
  <c r="L101" i="2"/>
  <c r="M101" i="2"/>
  <c r="N101" i="2"/>
  <c r="O101" i="2"/>
  <c r="P101" i="2"/>
  <c r="Q101" i="2"/>
  <c r="R101" i="2"/>
  <c r="S101" i="2"/>
  <c r="T101" i="2"/>
  <c r="U101" i="2"/>
  <c r="V101" i="2"/>
  <c r="C102" i="2"/>
  <c r="C183" i="2" s="1"/>
  <c r="D102" i="2"/>
  <c r="D183" i="2" s="1"/>
  <c r="E102" i="2"/>
  <c r="E183" i="2" s="1"/>
  <c r="F102" i="2"/>
  <c r="F183" i="2" s="1"/>
  <c r="G102" i="2"/>
  <c r="G183" i="2" s="1"/>
  <c r="H102" i="2"/>
  <c r="H183" i="2" s="1"/>
  <c r="I102" i="2"/>
  <c r="J102" i="2"/>
  <c r="K102" i="2"/>
  <c r="L102" i="2"/>
  <c r="M102" i="2"/>
  <c r="N102" i="2"/>
  <c r="O102" i="2"/>
  <c r="P102" i="2"/>
  <c r="Q102" i="2"/>
  <c r="R102" i="2"/>
  <c r="S102" i="2"/>
  <c r="T102" i="2"/>
  <c r="U102" i="2"/>
  <c r="V102" i="2"/>
  <c r="C103" i="2"/>
  <c r="C184" i="2" s="1"/>
  <c r="D103" i="2"/>
  <c r="D184" i="2" s="1"/>
  <c r="E103" i="2"/>
  <c r="E184" i="2" s="1"/>
  <c r="F103" i="2"/>
  <c r="F184" i="2" s="1"/>
  <c r="G103" i="2"/>
  <c r="G184" i="2" s="1"/>
  <c r="H103" i="2"/>
  <c r="H184" i="2" s="1"/>
  <c r="I103" i="2"/>
  <c r="J103" i="2"/>
  <c r="K103" i="2"/>
  <c r="L103" i="2"/>
  <c r="M103" i="2"/>
  <c r="N103" i="2"/>
  <c r="O103" i="2"/>
  <c r="P103" i="2"/>
  <c r="Q103" i="2"/>
  <c r="R103" i="2"/>
  <c r="S103" i="2"/>
  <c r="T103" i="2"/>
  <c r="U103" i="2"/>
  <c r="V103" i="2"/>
  <c r="C104" i="2"/>
  <c r="C185" i="2" s="1"/>
  <c r="D104" i="2"/>
  <c r="D185" i="2" s="1"/>
  <c r="E104" i="2"/>
  <c r="E185" i="2" s="1"/>
  <c r="F104" i="2"/>
  <c r="F185" i="2" s="1"/>
  <c r="G104" i="2"/>
  <c r="G185" i="2" s="1"/>
  <c r="H104" i="2"/>
  <c r="H185" i="2" s="1"/>
  <c r="I104" i="2"/>
  <c r="J104" i="2"/>
  <c r="L104" i="2"/>
  <c r="M104" i="2"/>
  <c r="N104" i="2"/>
  <c r="O104" i="2"/>
  <c r="P104" i="2"/>
  <c r="Q104" i="2"/>
  <c r="R104" i="2"/>
  <c r="S104" i="2"/>
  <c r="T104" i="2"/>
  <c r="U104" i="2"/>
  <c r="V104" i="2"/>
  <c r="C105" i="2"/>
  <c r="C186" i="2" s="1"/>
  <c r="D105" i="2"/>
  <c r="D186" i="2" s="1"/>
  <c r="E105" i="2"/>
  <c r="E186" i="2" s="1"/>
  <c r="F105" i="2"/>
  <c r="F186" i="2" s="1"/>
  <c r="G105" i="2"/>
  <c r="G186" i="2" s="1"/>
  <c r="H105" i="2"/>
  <c r="H186" i="2" s="1"/>
  <c r="I105" i="2"/>
  <c r="J105" i="2"/>
  <c r="K105" i="2"/>
  <c r="L105" i="2"/>
  <c r="M105" i="2"/>
  <c r="N105" i="2"/>
  <c r="O105" i="2"/>
  <c r="P105" i="2"/>
  <c r="Q105" i="2"/>
  <c r="R105" i="2"/>
  <c r="S105" i="2"/>
  <c r="T105" i="2"/>
  <c r="U105" i="2"/>
  <c r="V105" i="2"/>
  <c r="C106" i="2"/>
  <c r="C187" i="2" s="1"/>
  <c r="D106" i="2"/>
  <c r="D187" i="2" s="1"/>
  <c r="E106" i="2"/>
  <c r="E187" i="2" s="1"/>
  <c r="F106" i="2"/>
  <c r="F187" i="2" s="1"/>
  <c r="G106" i="2"/>
  <c r="G187" i="2" s="1"/>
  <c r="H106" i="2"/>
  <c r="H187" i="2" s="1"/>
  <c r="I106" i="2"/>
  <c r="J106" i="2"/>
  <c r="K106" i="2"/>
  <c r="L106" i="2"/>
  <c r="M106" i="2"/>
  <c r="N106" i="2"/>
  <c r="O106" i="2"/>
  <c r="P106" i="2"/>
  <c r="Q106" i="2"/>
  <c r="R106" i="2"/>
  <c r="S106" i="2"/>
  <c r="T106" i="2"/>
  <c r="U106" i="2"/>
  <c r="V106" i="2"/>
  <c r="C107" i="2"/>
  <c r="C188" i="2" s="1"/>
  <c r="D107" i="2"/>
  <c r="D188" i="2" s="1"/>
  <c r="E107" i="2"/>
  <c r="E188" i="2" s="1"/>
  <c r="F107" i="2"/>
  <c r="F188" i="2" s="1"/>
  <c r="G107" i="2"/>
  <c r="G188" i="2" s="1"/>
  <c r="H107" i="2"/>
  <c r="H188" i="2" s="1"/>
  <c r="I107" i="2"/>
  <c r="J107" i="2"/>
  <c r="K107" i="2"/>
  <c r="L107" i="2"/>
  <c r="M107" i="2"/>
  <c r="N107" i="2"/>
  <c r="O107" i="2"/>
  <c r="P107" i="2"/>
  <c r="Q107" i="2"/>
  <c r="R107" i="2"/>
  <c r="S107" i="2"/>
  <c r="T107" i="2"/>
  <c r="U107" i="2"/>
  <c r="V107" i="2"/>
  <c r="C108" i="2"/>
  <c r="C189" i="2" s="1"/>
  <c r="D108" i="2"/>
  <c r="D189" i="2" s="1"/>
  <c r="E108" i="2"/>
  <c r="E189" i="2" s="1"/>
  <c r="F108" i="2"/>
  <c r="F189" i="2" s="1"/>
  <c r="G108" i="2"/>
  <c r="G189" i="2" s="1"/>
  <c r="H108" i="2"/>
  <c r="H189" i="2" s="1"/>
  <c r="I108" i="2"/>
  <c r="J108" i="2"/>
  <c r="K108" i="2"/>
  <c r="L108" i="2"/>
  <c r="M108" i="2"/>
  <c r="N108" i="2"/>
  <c r="O108" i="2"/>
  <c r="P108" i="2"/>
  <c r="Q108" i="2"/>
  <c r="R108" i="2"/>
  <c r="S108" i="2"/>
  <c r="T108" i="2"/>
  <c r="U108" i="2"/>
  <c r="V108" i="2"/>
  <c r="C109" i="2"/>
  <c r="C190" i="2" s="1"/>
  <c r="D109" i="2"/>
  <c r="D190" i="2" s="1"/>
  <c r="E109" i="2"/>
  <c r="E190" i="2" s="1"/>
  <c r="F109" i="2"/>
  <c r="F190" i="2" s="1"/>
  <c r="G109" i="2"/>
  <c r="G190" i="2" s="1"/>
  <c r="H109" i="2"/>
  <c r="H190" i="2" s="1"/>
  <c r="I109" i="2"/>
  <c r="J109" i="2"/>
  <c r="K109" i="2"/>
  <c r="L109" i="2"/>
  <c r="M109" i="2"/>
  <c r="N109" i="2"/>
  <c r="O109" i="2"/>
  <c r="P109" i="2"/>
  <c r="Q109" i="2"/>
  <c r="R109" i="2"/>
  <c r="S109" i="2"/>
  <c r="T109" i="2"/>
  <c r="U109" i="2"/>
  <c r="V109" i="2"/>
  <c r="C110" i="2"/>
  <c r="C191" i="2" s="1"/>
  <c r="D110" i="2"/>
  <c r="D191" i="2" s="1"/>
  <c r="E110" i="2"/>
  <c r="E191" i="2" s="1"/>
  <c r="F110" i="2"/>
  <c r="F191" i="2" s="1"/>
  <c r="G110" i="2"/>
  <c r="G191" i="2" s="1"/>
  <c r="H110" i="2"/>
  <c r="H191" i="2" s="1"/>
  <c r="I110" i="2"/>
  <c r="J110" i="2"/>
  <c r="K110" i="2"/>
  <c r="L110" i="2"/>
  <c r="M110" i="2"/>
  <c r="N110" i="2"/>
  <c r="O110" i="2"/>
  <c r="P110" i="2"/>
  <c r="Q110" i="2"/>
  <c r="R110" i="2"/>
  <c r="S110" i="2"/>
  <c r="T110" i="2"/>
  <c r="U110" i="2"/>
  <c r="V110" i="2"/>
  <c r="C111" i="2"/>
  <c r="C192" i="2" s="1"/>
  <c r="D111" i="2"/>
  <c r="D192" i="2" s="1"/>
  <c r="E111" i="2"/>
  <c r="E192" i="2" s="1"/>
  <c r="F111" i="2"/>
  <c r="F192" i="2" s="1"/>
  <c r="G111" i="2"/>
  <c r="G192" i="2" s="1"/>
  <c r="H111" i="2"/>
  <c r="H192" i="2" s="1"/>
  <c r="I111" i="2"/>
  <c r="J111" i="2"/>
  <c r="K111" i="2"/>
  <c r="L111" i="2"/>
  <c r="M111" i="2"/>
  <c r="N111" i="2"/>
  <c r="O111" i="2"/>
  <c r="P111" i="2"/>
  <c r="Q111" i="2"/>
  <c r="R111" i="2"/>
  <c r="S111" i="2"/>
  <c r="T111" i="2"/>
  <c r="U111" i="2"/>
  <c r="V111" i="2"/>
  <c r="C112" i="2"/>
  <c r="C193" i="2" s="1"/>
  <c r="D112" i="2"/>
  <c r="D193" i="2" s="1"/>
  <c r="E112" i="2"/>
  <c r="E193" i="2" s="1"/>
  <c r="F112" i="2"/>
  <c r="F193" i="2" s="1"/>
  <c r="G112" i="2"/>
  <c r="G193" i="2" s="1"/>
  <c r="H112" i="2"/>
  <c r="H193" i="2" s="1"/>
  <c r="I112" i="2"/>
  <c r="J112" i="2"/>
  <c r="K112" i="2"/>
  <c r="L112" i="2"/>
  <c r="M112" i="2"/>
  <c r="N112" i="2"/>
  <c r="O112" i="2"/>
  <c r="P112" i="2"/>
  <c r="Q112" i="2"/>
  <c r="R112" i="2"/>
  <c r="S112" i="2"/>
  <c r="T112" i="2"/>
  <c r="U112" i="2"/>
  <c r="V112" i="2"/>
  <c r="C113" i="2"/>
  <c r="C194" i="2" s="1"/>
  <c r="D113" i="2"/>
  <c r="D194" i="2" s="1"/>
  <c r="E113" i="2"/>
  <c r="E194" i="2" s="1"/>
  <c r="F113" i="2"/>
  <c r="F194" i="2" s="1"/>
  <c r="G113" i="2"/>
  <c r="G194" i="2" s="1"/>
  <c r="H113" i="2"/>
  <c r="H194" i="2" s="1"/>
  <c r="I113" i="2"/>
  <c r="J113" i="2"/>
  <c r="K113" i="2"/>
  <c r="L113" i="2"/>
  <c r="M113" i="2"/>
  <c r="N113" i="2"/>
  <c r="O113" i="2"/>
  <c r="P113" i="2"/>
  <c r="Q113" i="2"/>
  <c r="R113" i="2"/>
  <c r="S113" i="2"/>
  <c r="T113" i="2"/>
  <c r="U113" i="2"/>
  <c r="V113" i="2"/>
  <c r="C114" i="2"/>
  <c r="C195" i="2" s="1"/>
  <c r="D114" i="2"/>
  <c r="D195" i="2" s="1"/>
  <c r="E114" i="2"/>
  <c r="E195" i="2" s="1"/>
  <c r="F114" i="2"/>
  <c r="F195" i="2" s="1"/>
  <c r="G114" i="2"/>
  <c r="G195" i="2" s="1"/>
  <c r="H114" i="2"/>
  <c r="H195" i="2" s="1"/>
  <c r="I114" i="2"/>
  <c r="J114" i="2"/>
  <c r="K114" i="2"/>
  <c r="L114" i="2"/>
  <c r="M114" i="2"/>
  <c r="N114" i="2"/>
  <c r="O114" i="2"/>
  <c r="P114" i="2"/>
  <c r="Q114" i="2"/>
  <c r="R114" i="2"/>
  <c r="S114" i="2"/>
  <c r="T114" i="2"/>
  <c r="U114" i="2"/>
  <c r="V114" i="2"/>
  <c r="C115" i="2"/>
  <c r="C196" i="2" s="1"/>
  <c r="D115" i="2"/>
  <c r="D196" i="2" s="1"/>
  <c r="E115" i="2"/>
  <c r="E196" i="2" s="1"/>
  <c r="F115" i="2"/>
  <c r="F196" i="2" s="1"/>
  <c r="G115" i="2"/>
  <c r="G196" i="2" s="1"/>
  <c r="H115" i="2"/>
  <c r="H196" i="2" s="1"/>
  <c r="I115" i="2"/>
  <c r="J115" i="2"/>
  <c r="K115" i="2"/>
  <c r="L115" i="2"/>
  <c r="M115" i="2"/>
  <c r="N115" i="2"/>
  <c r="O115" i="2"/>
  <c r="P115" i="2"/>
  <c r="Q115" i="2"/>
  <c r="R115" i="2"/>
  <c r="S115" i="2"/>
  <c r="T115" i="2"/>
  <c r="U115" i="2"/>
  <c r="V115" i="2"/>
  <c r="C116" i="2"/>
  <c r="C197" i="2" s="1"/>
  <c r="D116" i="2"/>
  <c r="D197" i="2" s="1"/>
  <c r="E116" i="2"/>
  <c r="E197" i="2" s="1"/>
  <c r="F116" i="2"/>
  <c r="F197" i="2" s="1"/>
  <c r="G116" i="2"/>
  <c r="G197" i="2" s="1"/>
  <c r="H116" i="2"/>
  <c r="H197" i="2" s="1"/>
  <c r="I116" i="2"/>
  <c r="J116" i="2"/>
  <c r="K116" i="2"/>
  <c r="L116" i="2"/>
  <c r="M116" i="2"/>
  <c r="N116" i="2"/>
  <c r="O116" i="2"/>
  <c r="P116" i="2"/>
  <c r="Q116" i="2"/>
  <c r="R116" i="2"/>
  <c r="S116" i="2"/>
  <c r="T116" i="2"/>
  <c r="U116" i="2"/>
  <c r="V116" i="2"/>
  <c r="C117" i="2"/>
  <c r="C198" i="2" s="1"/>
  <c r="D117" i="2"/>
  <c r="D198" i="2" s="1"/>
  <c r="E117" i="2"/>
  <c r="E198" i="2" s="1"/>
  <c r="F117" i="2"/>
  <c r="F198" i="2" s="1"/>
  <c r="G117" i="2"/>
  <c r="G198" i="2" s="1"/>
  <c r="H117" i="2"/>
  <c r="H198" i="2" s="1"/>
  <c r="I117" i="2"/>
  <c r="J117" i="2"/>
  <c r="K117" i="2"/>
  <c r="L117" i="2"/>
  <c r="M117" i="2"/>
  <c r="N117" i="2"/>
  <c r="O117" i="2"/>
  <c r="P117" i="2"/>
  <c r="Q117" i="2"/>
  <c r="R117" i="2"/>
  <c r="S117" i="2"/>
  <c r="T117" i="2"/>
  <c r="U117" i="2"/>
  <c r="V117" i="2"/>
  <c r="C118" i="2"/>
  <c r="C199" i="2" s="1"/>
  <c r="D118" i="2"/>
  <c r="D199" i="2" s="1"/>
  <c r="E118" i="2"/>
  <c r="E199" i="2" s="1"/>
  <c r="F118" i="2"/>
  <c r="F199" i="2" s="1"/>
  <c r="G118" i="2"/>
  <c r="G199" i="2" s="1"/>
  <c r="H118" i="2"/>
  <c r="H199" i="2" s="1"/>
  <c r="I118" i="2"/>
  <c r="J118" i="2"/>
  <c r="K118" i="2"/>
  <c r="L118" i="2"/>
  <c r="M118" i="2"/>
  <c r="N118" i="2"/>
  <c r="O118" i="2"/>
  <c r="P118" i="2"/>
  <c r="Q118" i="2"/>
  <c r="R118" i="2"/>
  <c r="S118" i="2"/>
  <c r="T118" i="2"/>
  <c r="U118" i="2"/>
  <c r="V118" i="2"/>
  <c r="C119" i="2"/>
  <c r="C200" i="2" s="1"/>
  <c r="D119" i="2"/>
  <c r="D200" i="2" s="1"/>
  <c r="E119" i="2"/>
  <c r="E200" i="2" s="1"/>
  <c r="F119" i="2"/>
  <c r="F200" i="2" s="1"/>
  <c r="G119" i="2"/>
  <c r="G200" i="2" s="1"/>
  <c r="H119" i="2"/>
  <c r="H200" i="2" s="1"/>
  <c r="I119" i="2"/>
  <c r="J119" i="2"/>
  <c r="K119" i="2"/>
  <c r="L119" i="2"/>
  <c r="M119" i="2"/>
  <c r="N119" i="2"/>
  <c r="O119" i="2"/>
  <c r="P119" i="2"/>
  <c r="Q119" i="2"/>
  <c r="R119" i="2"/>
  <c r="S119" i="2"/>
  <c r="T119" i="2"/>
  <c r="U119" i="2"/>
  <c r="V119" i="2"/>
  <c r="C120" i="2"/>
  <c r="C201" i="2" s="1"/>
  <c r="D120" i="2"/>
  <c r="D201" i="2" s="1"/>
  <c r="E120" i="2"/>
  <c r="E201" i="2" s="1"/>
  <c r="F120" i="2"/>
  <c r="F201" i="2" s="1"/>
  <c r="G120" i="2"/>
  <c r="G201" i="2" s="1"/>
  <c r="H120" i="2"/>
  <c r="H201" i="2" s="1"/>
  <c r="I120" i="2"/>
  <c r="J120" i="2"/>
  <c r="K120" i="2"/>
  <c r="L120" i="2"/>
  <c r="M120" i="2"/>
  <c r="N120" i="2"/>
  <c r="O120" i="2"/>
  <c r="P120" i="2"/>
  <c r="Q120" i="2"/>
  <c r="R120" i="2"/>
  <c r="S120" i="2"/>
  <c r="T120" i="2"/>
  <c r="U120" i="2"/>
  <c r="V120" i="2"/>
  <c r="D83" i="2"/>
  <c r="E83" i="2"/>
  <c r="F83" i="2"/>
  <c r="G83" i="2"/>
  <c r="H83" i="2"/>
  <c r="I83" i="2"/>
  <c r="J83" i="2"/>
  <c r="K83" i="2"/>
  <c r="L83" i="2"/>
  <c r="M83" i="2"/>
  <c r="N83" i="2"/>
  <c r="O83" i="2"/>
  <c r="P83" i="2"/>
  <c r="Q83" i="2"/>
  <c r="R83" i="2"/>
  <c r="S83" i="2"/>
  <c r="T83" i="2"/>
  <c r="U83" i="2"/>
  <c r="V83" i="2"/>
  <c r="C83" i="2"/>
  <c r="V80" i="2"/>
  <c r="U80" i="2"/>
  <c r="T80" i="2"/>
  <c r="S80" i="2"/>
  <c r="R80" i="2"/>
  <c r="Q80" i="2"/>
  <c r="P80" i="2"/>
  <c r="O80" i="2"/>
  <c r="N80" i="2"/>
  <c r="M80" i="2"/>
  <c r="L80" i="2"/>
  <c r="K80" i="2"/>
  <c r="J80" i="2"/>
  <c r="I80" i="2"/>
  <c r="H80" i="2"/>
  <c r="G80" i="2"/>
  <c r="F80" i="2"/>
  <c r="E80" i="2"/>
  <c r="D80" i="2"/>
  <c r="C80" i="2"/>
  <c r="N40" i="2"/>
  <c r="O40" i="2"/>
  <c r="P40" i="2"/>
  <c r="Q40" i="2"/>
  <c r="R40" i="2"/>
  <c r="S40" i="2"/>
  <c r="T40" i="2"/>
  <c r="U40" i="2"/>
  <c r="V40" i="2"/>
  <c r="C40" i="2"/>
  <c r="D40" i="2"/>
  <c r="E40" i="2"/>
  <c r="F40" i="2"/>
  <c r="G40" i="2"/>
  <c r="H40" i="2"/>
  <c r="I40" i="2"/>
  <c r="J40" i="2"/>
  <c r="K40" i="2"/>
  <c r="L40" i="2"/>
  <c r="M40" i="2"/>
  <c r="X177" i="2" l="1"/>
  <c r="X178" i="2"/>
  <c r="X172" i="2"/>
  <c r="X169" i="2"/>
  <c r="X180" i="2"/>
  <c r="X174" i="2"/>
  <c r="X171" i="2"/>
  <c r="X193" i="2"/>
  <c r="X181" i="2"/>
  <c r="X175" i="2"/>
  <c r="X201" i="2"/>
  <c r="X198" i="2"/>
  <c r="X195" i="2"/>
  <c r="X189" i="2"/>
  <c r="X186" i="2"/>
  <c r="X196" i="2"/>
  <c r="X184" i="2"/>
  <c r="X199" i="2"/>
  <c r="X190" i="2"/>
  <c r="X187" i="2"/>
  <c r="X192" i="2"/>
  <c r="X176" i="2"/>
  <c r="X173" i="2"/>
  <c r="X170" i="2"/>
  <c r="X167" i="2"/>
  <c r="X185" i="2"/>
  <c r="X182" i="2"/>
  <c r="X179" i="2"/>
  <c r="X200" i="2"/>
  <c r="X197" i="2"/>
  <c r="X194" i="2"/>
  <c r="X191" i="2"/>
  <c r="X188" i="2"/>
  <c r="X183" i="2"/>
  <c r="X168" i="2"/>
  <c r="F206" i="2"/>
  <c r="I122" i="2"/>
  <c r="X88" i="2"/>
  <c r="X85" i="2"/>
  <c r="X198" i="5"/>
  <c r="X186" i="5"/>
  <c r="X174" i="5"/>
  <c r="G206" i="5"/>
  <c r="S206" i="5"/>
  <c r="X200" i="5"/>
  <c r="X188" i="5"/>
  <c r="X176" i="5"/>
  <c r="Q206" i="5"/>
  <c r="O206" i="5"/>
  <c r="X40" i="5"/>
  <c r="M206" i="5"/>
  <c r="X184" i="5"/>
  <c r="X193" i="5"/>
  <c r="C206" i="5"/>
  <c r="X192" i="5"/>
  <c r="X180" i="5"/>
  <c r="X168" i="5"/>
  <c r="X204" i="5"/>
  <c r="X199" i="5"/>
  <c r="X187" i="5"/>
  <c r="X175" i="5"/>
  <c r="N206" i="5"/>
  <c r="I206" i="5"/>
  <c r="X201" i="5"/>
  <c r="D206" i="5"/>
  <c r="X181" i="5"/>
  <c r="X177" i="5"/>
  <c r="P206" i="5"/>
  <c r="X189" i="5"/>
  <c r="X196" i="5"/>
  <c r="X203" i="5"/>
  <c r="X197" i="5"/>
  <c r="X194" i="5"/>
  <c r="X191" i="5"/>
  <c r="X185" i="5"/>
  <c r="X182" i="5"/>
  <c r="X179" i="5"/>
  <c r="X173" i="5"/>
  <c r="X170" i="5"/>
  <c r="X202" i="5"/>
  <c r="X190" i="5"/>
  <c r="X178" i="5"/>
  <c r="X172" i="5"/>
  <c r="X195" i="5"/>
  <c r="X183" i="5"/>
  <c r="X171" i="5"/>
  <c r="R206" i="5"/>
  <c r="X101" i="2"/>
  <c r="X97" i="2"/>
  <c r="X98" i="2"/>
  <c r="X113" i="2"/>
  <c r="X86" i="2"/>
  <c r="X120" i="2"/>
  <c r="X119" i="2"/>
  <c r="X117" i="2"/>
  <c r="X114" i="2"/>
  <c r="X111" i="2"/>
  <c r="X108" i="2"/>
  <c r="X107" i="2"/>
  <c r="X105" i="2"/>
  <c r="X95" i="2"/>
  <c r="X118" i="2"/>
  <c r="X106" i="2"/>
  <c r="X94" i="2"/>
  <c r="X115" i="2"/>
  <c r="X112" i="2"/>
  <c r="X109" i="2"/>
  <c r="X92" i="2"/>
  <c r="X103" i="2"/>
  <c r="X100" i="2"/>
  <c r="X91" i="2"/>
  <c r="X104" i="2"/>
  <c r="X110" i="2"/>
  <c r="X89" i="2"/>
  <c r="X99" i="2"/>
  <c r="X96" i="2"/>
  <c r="X90" i="2"/>
  <c r="X87" i="2"/>
  <c r="X84" i="2"/>
  <c r="X93" i="2"/>
  <c r="X116" i="2"/>
  <c r="X102" i="2"/>
  <c r="R122" i="2"/>
  <c r="M122" i="2"/>
  <c r="V122" i="2"/>
  <c r="J122" i="2"/>
  <c r="O122" i="2"/>
  <c r="F206" i="5"/>
  <c r="E206" i="5"/>
  <c r="K206" i="5"/>
  <c r="V206" i="5"/>
  <c r="U206" i="5"/>
  <c r="X169" i="5"/>
  <c r="L206" i="5"/>
  <c r="J206" i="5"/>
  <c r="T206" i="5"/>
  <c r="H206" i="5"/>
  <c r="X167" i="5"/>
  <c r="J122" i="5"/>
  <c r="X164" i="5"/>
  <c r="X80" i="5"/>
  <c r="L122" i="5"/>
  <c r="X101" i="5"/>
  <c r="D122" i="5"/>
  <c r="Q122" i="5"/>
  <c r="X83" i="5"/>
  <c r="P122" i="5"/>
  <c r="X115" i="5"/>
  <c r="X86" i="5"/>
  <c r="X113" i="5"/>
  <c r="S122" i="5"/>
  <c r="X102" i="5"/>
  <c r="X110" i="5"/>
  <c r="X111" i="5"/>
  <c r="X114" i="5"/>
  <c r="T122" i="5"/>
  <c r="I122" i="5"/>
  <c r="U122" i="5"/>
  <c r="X99" i="5"/>
  <c r="V122" i="5"/>
  <c r="X85" i="5"/>
  <c r="F122" i="5"/>
  <c r="R122" i="5"/>
  <c r="X97" i="5"/>
  <c r="X87" i="5"/>
  <c r="X98" i="5"/>
  <c r="G122" i="5"/>
  <c r="X91" i="5"/>
  <c r="X89" i="5"/>
  <c r="X112" i="5"/>
  <c r="E122" i="5"/>
  <c r="K122" i="5"/>
  <c r="H122" i="5"/>
  <c r="X94" i="5"/>
  <c r="X95" i="5"/>
  <c r="X103" i="5"/>
  <c r="X88" i="5"/>
  <c r="X90" i="5"/>
  <c r="M122" i="5"/>
  <c r="C122" i="5"/>
  <c r="O122" i="5"/>
  <c r="X92" i="5"/>
  <c r="X93" i="5"/>
  <c r="X96" i="5"/>
  <c r="X106" i="5"/>
  <c r="X107" i="5"/>
  <c r="X118" i="5"/>
  <c r="X119" i="5"/>
  <c r="X100" i="5"/>
  <c r="X109" i="5"/>
  <c r="N122" i="5"/>
  <c r="X104" i="5"/>
  <c r="X105" i="5"/>
  <c r="X108" i="5"/>
  <c r="X116" i="5"/>
  <c r="X117" i="5"/>
  <c r="X120" i="5"/>
  <c r="X84" i="5"/>
  <c r="C122" i="2"/>
  <c r="C203" i="2" s="1"/>
  <c r="K122" i="2"/>
  <c r="N122" i="2"/>
  <c r="S122" i="2"/>
  <c r="U122" i="2"/>
  <c r="P122" i="2"/>
  <c r="L122" i="2"/>
  <c r="D122" i="2"/>
  <c r="D203" i="2" s="1"/>
  <c r="D206" i="2" s="1"/>
  <c r="T122" i="2"/>
  <c r="H122" i="2"/>
  <c r="H203" i="2" s="1"/>
  <c r="H206" i="2" s="1"/>
  <c r="G122" i="2"/>
  <c r="G203" i="2" s="1"/>
  <c r="G206" i="2" s="1"/>
  <c r="F122" i="2"/>
  <c r="F203" i="2" s="1"/>
  <c r="Q122" i="2"/>
  <c r="E122" i="2"/>
  <c r="E203" i="2" s="1"/>
  <c r="E206" i="2" s="1"/>
  <c r="Y40" i="2"/>
  <c r="X80" i="2"/>
  <c r="X203" i="2" l="1"/>
  <c r="X206" i="2" s="1"/>
  <c r="C206" i="2"/>
  <c r="X122" i="2"/>
  <c r="X206" i="5"/>
  <c r="X122" i="5"/>
</calcChain>
</file>

<file path=xl/sharedStrings.xml><?xml version="1.0" encoding="utf-8"?>
<sst xmlns="http://schemas.openxmlformats.org/spreadsheetml/2006/main" count="44" uniqueCount="42">
  <si>
    <t>time_period</t>
  </si>
  <si>
    <t>strategy_id</t>
  </si>
  <si>
    <t>nemomod_entc_discounted_capital_investment_fp_ammonia_production</t>
  </si>
  <si>
    <t>nemomod_entc_discounted_capital_investment_fp_hydrogen_electrolysis</t>
  </si>
  <si>
    <t>nemomod_entc_discounted_capital_investment_fp_hydrogen_gasification</t>
  </si>
  <si>
    <t>nemomod_entc_discounted_capital_investment_fp_hydrogen_reformation</t>
  </si>
  <si>
    <t>nemomod_entc_discounted_capital_investment_fp_hydrogen_reformation_ccs</t>
  </si>
  <si>
    <t>nemomod_entc_discounted_capital_investment_fp_natural_gas_liquefaction</t>
  </si>
  <si>
    <t>nemomod_entc_discounted_capital_investment_pp_biogas</t>
  </si>
  <si>
    <t>nemomod_entc_discounted_capital_investment_pp_biomass</t>
  </si>
  <si>
    <t>nemomod_entc_discounted_capital_investment_pp_coal</t>
  </si>
  <si>
    <t>nemomod_entc_discounted_capital_investment_pp_coal_ccs</t>
  </si>
  <si>
    <t>nemomod_entc_discounted_capital_investment_pp_gas</t>
  </si>
  <si>
    <t>nemomod_entc_discounted_capital_investment_pp_gas_ccs</t>
  </si>
  <si>
    <t>nemomod_entc_discounted_capital_investment_pp_geothermal</t>
  </si>
  <si>
    <t>nemomod_entc_discounted_capital_investment_pp_hydropower</t>
  </si>
  <si>
    <t>nemomod_entc_discounted_capital_investment_pp_nuclear</t>
  </si>
  <si>
    <t>nemomod_entc_discounted_capital_investment_pp_ocean</t>
  </si>
  <si>
    <t>nemomod_entc_discounted_capital_investment_pp_oil</t>
  </si>
  <si>
    <t>nemomod_entc_discounted_capital_investment_pp_solar</t>
  </si>
  <si>
    <t>nemomod_entc_discounted_capital_investment_pp_waste_incineration</t>
  </si>
  <si>
    <t>nemomod_entc_discounted_capital_investment_pp_wind</t>
  </si>
  <si>
    <t>nemomod_entc_discounted_operating_costs_fp_ammonia_production</t>
  </si>
  <si>
    <t>nemomod_entc_discounted_operating_costs_fp_hydrogen_electrolysis</t>
  </si>
  <si>
    <t>nemomod_entc_discounted_operating_costs_fp_hydrogen_gasification</t>
  </si>
  <si>
    <t>nemomod_entc_discounted_operating_costs_fp_hydrogen_reformation</t>
  </si>
  <si>
    <t>nemomod_entc_discounted_operating_costs_fp_hydrogen_reformation_ccs</t>
  </si>
  <si>
    <t>nemomod_entc_discounted_operating_costs_fp_natural_gas_liquefaction</t>
  </si>
  <si>
    <t>nemomod_entc_discounted_operating_costs_pp_biogas</t>
  </si>
  <si>
    <t>nemomod_entc_discounted_operating_costs_pp_biomass</t>
  </si>
  <si>
    <t>nemomod_entc_discounted_operating_costs_pp_coal</t>
  </si>
  <si>
    <t>nemomod_entc_discounted_operating_costs_pp_coal_ccs</t>
  </si>
  <si>
    <t>nemomod_entc_discounted_operating_costs_pp_gas</t>
  </si>
  <si>
    <t>nemomod_entc_discounted_operating_costs_pp_gas_ccs</t>
  </si>
  <si>
    <t>nemomod_entc_discounted_operating_costs_pp_geothermal</t>
  </si>
  <si>
    <t>nemomod_entc_discounted_operating_costs_pp_hydropower</t>
  </si>
  <si>
    <t>nemomod_entc_discounted_operating_costs_pp_nuclear</t>
  </si>
  <si>
    <t>nemomod_entc_discounted_operating_costs_pp_ocean</t>
  </si>
  <si>
    <t>nemomod_entc_discounted_operating_costs_pp_oil</t>
  </si>
  <si>
    <t>nemomod_entc_discounted_operating_costs_pp_solar</t>
  </si>
  <si>
    <t>nemomod_entc_discounted_operating_costs_pp_waste_incineration</t>
  </si>
  <si>
    <t>nemomod_entc_discounted_operating_costs_pp_wind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</si>
</sst>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"/>
  </numFmts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">
    <xf numFmtId="0" fontId="0" fillId="0" borderId="0" xfId="0"/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0" fontId="0" fillId="0" borderId="10" xfId="0" applyBorder="1"/>
    <xf numFmtId="165" fontId="0" fillId="0" borderId="10" xfId="0" applyNumberFormat="1" applyBorder="1"/>
    <xf numFmtId="0" fontId="0" fillId="0" borderId="0" xfId="0" applyAlignment="1">
      <alignment wrapText="1"/>
    </xf>
    <xf numFmtId="2" fontId="0" fillId="33" borderId="0" xfId="0" applyNumberFormat="1" applyFill="1"/>
    <xf numFmtId="0" fontId="0" fillId="0" borderId="0" xfId="0" applyAlignment="1">
      <alignment vertical="center" wrapText="1"/>
    </xf>
    <xf numFmtId="165" fontId="0" fillId="33" borderId="0" xfId="0" applyNumberForma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X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opex!$M$1</c:f>
              <c:strCache>
                <c:ptCount val="1"/>
                <c:pt idx="0">
                  <c:v>nemomod_entc_discounted_operating_costs_pp_gas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opex!$B$42:$B$80</c:f>
              <c:numCache>
                <c:formatCode>General</c:formatCode>
                <c:ptCount val="39"/>
                <c:pt idx="0">
                  <c:v>8</c:v>
                </c:pt>
                <c:pt idx="1">
                  <c:v>9</c:v>
                </c:pt>
                <c:pt idx="2">
                  <c:v>10</c:v>
                </c:pt>
                <c:pt idx="3">
                  <c:v>11</c:v>
                </c:pt>
                <c:pt idx="4">
                  <c:v>12</c:v>
                </c:pt>
                <c:pt idx="5">
                  <c:v>13</c:v>
                </c:pt>
                <c:pt idx="6">
                  <c:v>14</c:v>
                </c:pt>
                <c:pt idx="7">
                  <c:v>15</c:v>
                </c:pt>
                <c:pt idx="8">
                  <c:v>16</c:v>
                </c:pt>
                <c:pt idx="9">
                  <c:v>17</c:v>
                </c:pt>
                <c:pt idx="10">
                  <c:v>18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26</c:v>
                </c:pt>
                <c:pt idx="19">
                  <c:v>27</c:v>
                </c:pt>
                <c:pt idx="20">
                  <c:v>28</c:v>
                </c:pt>
                <c:pt idx="21">
                  <c:v>29</c:v>
                </c:pt>
                <c:pt idx="22">
                  <c:v>30</c:v>
                </c:pt>
                <c:pt idx="23">
                  <c:v>31</c:v>
                </c:pt>
                <c:pt idx="24">
                  <c:v>32</c:v>
                </c:pt>
                <c:pt idx="25">
                  <c:v>33</c:v>
                </c:pt>
                <c:pt idx="26">
                  <c:v>34</c:v>
                </c:pt>
                <c:pt idx="27">
                  <c:v>35</c:v>
                </c:pt>
                <c:pt idx="28">
                  <c:v>36</c:v>
                </c:pt>
                <c:pt idx="29">
                  <c:v>37</c:v>
                </c:pt>
                <c:pt idx="30">
                  <c:v>38</c:v>
                </c:pt>
                <c:pt idx="31">
                  <c:v>39</c:v>
                </c:pt>
                <c:pt idx="32">
                  <c:v>40</c:v>
                </c:pt>
                <c:pt idx="33">
                  <c:v>41</c:v>
                </c:pt>
                <c:pt idx="34">
                  <c:v>42</c:v>
                </c:pt>
                <c:pt idx="35">
                  <c:v>43</c:v>
                </c:pt>
                <c:pt idx="36">
                  <c:v>44</c:v>
                </c:pt>
                <c:pt idx="37">
                  <c:v>45</c:v>
                </c:pt>
              </c:numCache>
            </c:numRef>
          </c:cat>
          <c:val>
            <c:numRef>
              <c:f>opex!$M$42:$M$80</c:f>
              <c:numCache>
                <c:formatCode>General</c:formatCode>
                <c:ptCount val="39"/>
                <c:pt idx="0">
                  <c:v>3131.8938480793099</c:v>
                </c:pt>
                <c:pt idx="1">
                  <c:v>2990.40933701213</c:v>
                </c:pt>
                <c:pt idx="2">
                  <c:v>3438.1030522236601</c:v>
                </c:pt>
                <c:pt idx="3">
                  <c:v>3587.7750965494201</c:v>
                </c:pt>
                <c:pt idx="4">
                  <c:v>3823.95262121203</c:v>
                </c:pt>
                <c:pt idx="5">
                  <c:v>3787.7428754213602</c:v>
                </c:pt>
                <c:pt idx="6">
                  <c:v>3487.53188288201</c:v>
                </c:pt>
                <c:pt idx="7">
                  <c:v>3274.3365217228902</c:v>
                </c:pt>
                <c:pt idx="8">
                  <c:v>3159.2727199517399</c:v>
                </c:pt>
                <c:pt idx="9">
                  <c:v>3030.9356312342402</c:v>
                </c:pt>
                <c:pt idx="10">
                  <c:v>2942.3036844644198</c:v>
                </c:pt>
                <c:pt idx="11">
                  <c:v>2870.4913358990498</c:v>
                </c:pt>
                <c:pt idx="12">
                  <c:v>2820.5461856793399</c:v>
                </c:pt>
                <c:pt idx="13">
                  <c:v>2731.8334254008</c:v>
                </c:pt>
                <c:pt idx="14">
                  <c:v>2656.7203524671299</c:v>
                </c:pt>
                <c:pt idx="15">
                  <c:v>2579.1338526443401</c:v>
                </c:pt>
                <c:pt idx="16">
                  <c:v>2442.2664326962799</c:v>
                </c:pt>
                <c:pt idx="17">
                  <c:v>2274.2373696694899</c:v>
                </c:pt>
                <c:pt idx="18">
                  <c:v>2156.98431502213</c:v>
                </c:pt>
                <c:pt idx="19">
                  <c:v>2027.3089304534701</c:v>
                </c:pt>
                <c:pt idx="20">
                  <c:v>1894.7497614937199</c:v>
                </c:pt>
                <c:pt idx="21">
                  <c:v>1754.18997507878</c:v>
                </c:pt>
                <c:pt idx="22">
                  <c:v>1577.4093204112801</c:v>
                </c:pt>
                <c:pt idx="23">
                  <c:v>1421.2065821214101</c:v>
                </c:pt>
                <c:pt idx="24">
                  <c:v>1257.3470758313599</c:v>
                </c:pt>
                <c:pt idx="25">
                  <c:v>1065.0146853444701</c:v>
                </c:pt>
                <c:pt idx="26">
                  <c:v>886.91962720328502</c:v>
                </c:pt>
                <c:pt idx="27">
                  <c:v>674.40645234772398</c:v>
                </c:pt>
                <c:pt idx="28">
                  <c:v>483.66199007929998</c:v>
                </c:pt>
                <c:pt idx="29">
                  <c:v>286.11129464973601</c:v>
                </c:pt>
                <c:pt idx="30">
                  <c:v>78.448923091924101</c:v>
                </c:pt>
                <c:pt idx="31">
                  <c:v>78.448923091924101</c:v>
                </c:pt>
                <c:pt idx="32">
                  <c:v>78.448923091924101</c:v>
                </c:pt>
                <c:pt idx="33">
                  <c:v>78.448923091924101</c:v>
                </c:pt>
                <c:pt idx="34">
                  <c:v>78.448923091924101</c:v>
                </c:pt>
                <c:pt idx="35">
                  <c:v>78.448923091924101</c:v>
                </c:pt>
                <c:pt idx="36">
                  <c:v>78.448923091924101</c:v>
                </c:pt>
                <c:pt idx="37">
                  <c:v>78.448923091924101</c:v>
                </c:pt>
                <c:pt idx="38" formatCode="#,##0.0">
                  <c:v>71142.387619981731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B74-BE41-9F0E-DB1EC70B364C}"/>
            </c:ext>
          </c:extLst>
        </c:ser>
        <c:ser>
          <c:idx val="1"/>
          <c:order val="1"/>
          <c:tx>
            <c:strRef>
              <c:f>opex!$N$1</c:f>
              <c:strCache>
                <c:ptCount val="1"/>
                <c:pt idx="0">
                  <c:v>nemomod_entc_discounted_operating_costs_pp_gas_ccs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opex!$B$42:$B$80</c:f>
              <c:numCache>
                <c:formatCode>General</c:formatCode>
                <c:ptCount val="39"/>
                <c:pt idx="0">
                  <c:v>8</c:v>
                </c:pt>
                <c:pt idx="1">
                  <c:v>9</c:v>
                </c:pt>
                <c:pt idx="2">
                  <c:v>10</c:v>
                </c:pt>
                <c:pt idx="3">
                  <c:v>11</c:v>
                </c:pt>
                <c:pt idx="4">
                  <c:v>12</c:v>
                </c:pt>
                <c:pt idx="5">
                  <c:v>13</c:v>
                </c:pt>
                <c:pt idx="6">
                  <c:v>14</c:v>
                </c:pt>
                <c:pt idx="7">
                  <c:v>15</c:v>
                </c:pt>
                <c:pt idx="8">
                  <c:v>16</c:v>
                </c:pt>
                <c:pt idx="9">
                  <c:v>17</c:v>
                </c:pt>
                <c:pt idx="10">
                  <c:v>18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26</c:v>
                </c:pt>
                <c:pt idx="19">
                  <c:v>27</c:v>
                </c:pt>
                <c:pt idx="20">
                  <c:v>28</c:v>
                </c:pt>
                <c:pt idx="21">
                  <c:v>29</c:v>
                </c:pt>
                <c:pt idx="22">
                  <c:v>30</c:v>
                </c:pt>
                <c:pt idx="23">
                  <c:v>31</c:v>
                </c:pt>
                <c:pt idx="24">
                  <c:v>32</c:v>
                </c:pt>
                <c:pt idx="25">
                  <c:v>33</c:v>
                </c:pt>
                <c:pt idx="26">
                  <c:v>34</c:v>
                </c:pt>
                <c:pt idx="27">
                  <c:v>35</c:v>
                </c:pt>
                <c:pt idx="28">
                  <c:v>36</c:v>
                </c:pt>
                <c:pt idx="29">
                  <c:v>37</c:v>
                </c:pt>
                <c:pt idx="30">
                  <c:v>38</c:v>
                </c:pt>
                <c:pt idx="31">
                  <c:v>39</c:v>
                </c:pt>
                <c:pt idx="32">
                  <c:v>40</c:v>
                </c:pt>
                <c:pt idx="33">
                  <c:v>41</c:v>
                </c:pt>
                <c:pt idx="34">
                  <c:v>42</c:v>
                </c:pt>
                <c:pt idx="35">
                  <c:v>43</c:v>
                </c:pt>
                <c:pt idx="36">
                  <c:v>44</c:v>
                </c:pt>
                <c:pt idx="37">
                  <c:v>45</c:v>
                </c:pt>
              </c:numCache>
            </c:numRef>
          </c:cat>
          <c:val>
            <c:numRef>
              <c:f>opex!$N$42:$N$80</c:f>
              <c:numCache>
                <c:formatCode>General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117.336143228797</c:v>
                </c:pt>
                <c:pt idx="4">
                  <c:v>253.49835572324201</c:v>
                </c:pt>
                <c:pt idx="5">
                  <c:v>389.82842016259701</c:v>
                </c:pt>
                <c:pt idx="6">
                  <c:v>505.37237889075999</c:v>
                </c:pt>
                <c:pt idx="7">
                  <c:v>623.08303480577104</c:v>
                </c:pt>
                <c:pt idx="8">
                  <c:v>753.71347540198599</c:v>
                </c:pt>
                <c:pt idx="9">
                  <c:v>885.45001546321203</c:v>
                </c:pt>
                <c:pt idx="10">
                  <c:v>1032.0938664028199</c:v>
                </c:pt>
                <c:pt idx="11">
                  <c:v>1186.00115259824</c:v>
                </c:pt>
                <c:pt idx="12">
                  <c:v>1359.13812669655</c:v>
                </c:pt>
                <c:pt idx="13">
                  <c:v>1525.1272366291701</c:v>
                </c:pt>
                <c:pt idx="14">
                  <c:v>1706.6719674641099</c:v>
                </c:pt>
                <c:pt idx="15">
                  <c:v>1899.3368193886699</c:v>
                </c:pt>
                <c:pt idx="16">
                  <c:v>2071.1367696196899</c:v>
                </c:pt>
                <c:pt idx="17">
                  <c:v>2266.8844704029102</c:v>
                </c:pt>
                <c:pt idx="18">
                  <c:v>2481.49452695946</c:v>
                </c:pt>
                <c:pt idx="19">
                  <c:v>2675.7163578150798</c:v>
                </c:pt>
                <c:pt idx="20">
                  <c:v>2887.9191311140498</c:v>
                </c:pt>
                <c:pt idx="21">
                  <c:v>3104.9295678385502</c:v>
                </c:pt>
                <c:pt idx="22">
                  <c:v>3326.79077256046</c:v>
                </c:pt>
                <c:pt idx="23">
                  <c:v>3552.3492034687702</c:v>
                </c:pt>
                <c:pt idx="24">
                  <c:v>3781.2122297772298</c:v>
                </c:pt>
                <c:pt idx="25">
                  <c:v>4013.2630677130501</c:v>
                </c:pt>
                <c:pt idx="26">
                  <c:v>4248.5544529930803</c:v>
                </c:pt>
                <c:pt idx="27">
                  <c:v>4487.5247730650599</c:v>
                </c:pt>
                <c:pt idx="28">
                  <c:v>4735.9850468630902</c:v>
                </c:pt>
                <c:pt idx="29">
                  <c:v>4985.6053491193597</c:v>
                </c:pt>
                <c:pt idx="30">
                  <c:v>5324.1627910303596</c:v>
                </c:pt>
                <c:pt idx="31">
                  <c:v>5531.1193588456299</c:v>
                </c:pt>
                <c:pt idx="32">
                  <c:v>5805.7540389737496</c:v>
                </c:pt>
                <c:pt idx="33">
                  <c:v>6019.5044847907902</c:v>
                </c:pt>
                <c:pt idx="34">
                  <c:v>6231.3935960995104</c:v>
                </c:pt>
                <c:pt idx="35">
                  <c:v>6433.1087869234398</c:v>
                </c:pt>
                <c:pt idx="36">
                  <c:v>6633.8381578489598</c:v>
                </c:pt>
                <c:pt idx="37">
                  <c:v>9562.4342610789008</c:v>
                </c:pt>
                <c:pt idx="38" formatCode="#,##0.0">
                  <c:v>112397.33218775713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B74-BE41-9F0E-DB1EC70B36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7480448"/>
        <c:axId val="1607478208"/>
      </c:lineChart>
      <c:catAx>
        <c:axId val="1607480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X"/>
          </a:p>
        </c:txPr>
        <c:crossAx val="1607478208"/>
        <c:crosses val="autoZero"/>
        <c:auto val="1"/>
        <c:lblAlgn val="ctr"/>
        <c:lblOffset val="100"/>
        <c:noMultiLvlLbl val="0"/>
      </c:catAx>
      <c:valAx>
        <c:axId val="1607478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X"/>
          </a:p>
        </c:txPr>
        <c:crossAx val="16074804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731375</xdr:colOff>
      <xdr:row>37</xdr:row>
      <xdr:rowOff>189826</xdr:rowOff>
    </xdr:from>
    <xdr:to>
      <xdr:col>35</xdr:col>
      <xdr:colOff>151190</xdr:colOff>
      <xdr:row>69</xdr:row>
      <xdr:rowOff>105834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1B1CF9C-B043-B54D-860B-1D28E3BE29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9B1FD-ED01-9241-9F37-C8F5328E5034}">
  <dimension ref="A1:Y206"/>
  <sheetViews>
    <sheetView tabSelected="1" zoomScale="84" zoomScaleNormal="60" workbookViewId="0">
      <pane xSplit="1" ySplit="1" topLeftCell="I77" activePane="bottomRight" state="frozen"/>
      <selection pane="topRight" activeCell="B1" sqref="B1"/>
      <selection pane="bottomLeft" activeCell="A2" sqref="A2"/>
      <selection pane="bottomRight" activeCell="U83" sqref="U83"/>
    </sheetView>
  </sheetViews>
  <sheetFormatPr baseColWidth="10" defaultRowHeight="16" x14ac:dyDescent="0.2"/>
  <cols>
    <col min="2" max="2" width="10.83203125" customWidth="1"/>
    <col min="3" max="8" width="11" customWidth="1"/>
    <col min="9" max="9" width="13.5" bestFit="1" customWidth="1"/>
    <col min="10" max="10" width="11" bestFit="1" customWidth="1"/>
    <col min="11" max="11" width="14" bestFit="1" customWidth="1"/>
    <col min="12" max="12" width="11" bestFit="1" customWidth="1"/>
    <col min="13" max="13" width="14" bestFit="1" customWidth="1"/>
    <col min="14" max="14" width="16.1640625" bestFit="1" customWidth="1"/>
    <col min="15" max="15" width="14.6640625" bestFit="1" customWidth="1"/>
    <col min="16" max="16" width="14" bestFit="1" customWidth="1"/>
    <col min="17" max="17" width="13.5" bestFit="1" customWidth="1"/>
    <col min="18" max="18" width="11" bestFit="1" customWidth="1"/>
    <col min="19" max="19" width="14" bestFit="1" customWidth="1"/>
    <col min="20" max="20" width="14.6640625" bestFit="1" customWidth="1"/>
    <col min="21" max="21" width="12.83203125" bestFit="1" customWidth="1"/>
    <col min="22" max="22" width="14.6640625" bestFit="1" customWidth="1"/>
  </cols>
  <sheetData>
    <row r="1" spans="1:24" ht="119" x14ac:dyDescent="0.2">
      <c r="A1" s="6" t="s">
        <v>1</v>
      </c>
      <c r="B1" s="8" t="s">
        <v>0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  <c r="O1" s="8" t="s">
        <v>14</v>
      </c>
      <c r="P1" s="8" t="s">
        <v>15</v>
      </c>
      <c r="Q1" s="8" t="s">
        <v>16</v>
      </c>
      <c r="R1" s="8" t="s">
        <v>17</v>
      </c>
      <c r="S1" s="8" t="s">
        <v>18</v>
      </c>
      <c r="T1" s="8" t="s">
        <v>19</v>
      </c>
      <c r="U1" s="8" t="s">
        <v>20</v>
      </c>
      <c r="V1" s="8" t="s">
        <v>21</v>
      </c>
    </row>
    <row r="2" spans="1:24" x14ac:dyDescent="0.2">
      <c r="A2">
        <v>6003</v>
      </c>
      <c r="B2">
        <v>8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5.5324457240216098E-2</v>
      </c>
      <c r="J2" s="3">
        <v>0</v>
      </c>
      <c r="K2" s="3">
        <v>0</v>
      </c>
      <c r="L2" s="3">
        <v>0</v>
      </c>
      <c r="M2" s="3">
        <v>1968.13547330644</v>
      </c>
      <c r="N2" s="3">
        <v>0</v>
      </c>
      <c r="O2" s="3">
        <v>0</v>
      </c>
      <c r="P2" s="3">
        <v>0</v>
      </c>
      <c r="Q2" s="3">
        <v>0</v>
      </c>
      <c r="R2" s="3">
        <v>0</v>
      </c>
      <c r="S2" s="3">
        <v>0</v>
      </c>
      <c r="T2" s="3">
        <v>0</v>
      </c>
      <c r="U2" s="3">
        <v>51.370288694422797</v>
      </c>
      <c r="V2" s="3">
        <v>0</v>
      </c>
      <c r="X2" s="3">
        <f t="shared" ref="X2:X38" si="0">+SUM(C2:V2)</f>
        <v>2019.5610864581029</v>
      </c>
    </row>
    <row r="3" spans="1:24" x14ac:dyDescent="0.2">
      <c r="A3">
        <v>6003</v>
      </c>
      <c r="B3">
        <v>9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4.8126612443268303E-2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0</v>
      </c>
      <c r="R3" s="3">
        <v>0</v>
      </c>
      <c r="S3" s="3">
        <v>0</v>
      </c>
      <c r="T3" s="3">
        <v>837.51958354964597</v>
      </c>
      <c r="U3" s="3">
        <v>40.454679441768398</v>
      </c>
      <c r="V3" s="3">
        <v>1081.95390043054</v>
      </c>
      <c r="X3" s="3">
        <f t="shared" si="0"/>
        <v>1959.9762900343976</v>
      </c>
    </row>
    <row r="4" spans="1:24" x14ac:dyDescent="0.2">
      <c r="A4">
        <v>6003</v>
      </c>
      <c r="B4">
        <v>10</v>
      </c>
      <c r="C4" s="3">
        <v>0</v>
      </c>
      <c r="D4" s="3">
        <v>0</v>
      </c>
      <c r="E4" s="3">
        <v>0</v>
      </c>
      <c r="F4" s="3">
        <v>0</v>
      </c>
      <c r="G4" s="3">
        <v>0</v>
      </c>
      <c r="H4" s="3">
        <v>0</v>
      </c>
      <c r="I4" s="3">
        <v>4.0714583751857103E-2</v>
      </c>
      <c r="J4" s="3">
        <v>0</v>
      </c>
      <c r="K4" s="3">
        <v>0</v>
      </c>
      <c r="L4" s="3">
        <v>0</v>
      </c>
      <c r="M4" s="3">
        <v>2510.6963081652302</v>
      </c>
      <c r="N4" s="3">
        <v>0</v>
      </c>
      <c r="O4" s="3">
        <v>0</v>
      </c>
      <c r="P4" s="3">
        <v>0</v>
      </c>
      <c r="Q4" s="3">
        <v>5595.3086977169696</v>
      </c>
      <c r="R4" s="3">
        <v>0</v>
      </c>
      <c r="S4" s="3">
        <v>0</v>
      </c>
      <c r="T4" s="3">
        <v>68.982526280313493</v>
      </c>
      <c r="U4" s="3">
        <v>27.9242179377258</v>
      </c>
      <c r="V4" s="3">
        <v>107.175275974535</v>
      </c>
      <c r="X4" s="3">
        <f t="shared" si="0"/>
        <v>8310.127740658525</v>
      </c>
    </row>
    <row r="5" spans="1:24" x14ac:dyDescent="0.2">
      <c r="A5">
        <v>6003</v>
      </c>
      <c r="B5">
        <v>11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3.6785028704112799</v>
      </c>
      <c r="J5" s="3">
        <v>0</v>
      </c>
      <c r="K5" s="3">
        <v>0</v>
      </c>
      <c r="L5" s="3">
        <v>0</v>
      </c>
      <c r="M5" s="3">
        <v>273.78163329244001</v>
      </c>
      <c r="N5" s="3">
        <v>0</v>
      </c>
      <c r="O5" s="3">
        <v>361.048940910537</v>
      </c>
      <c r="P5" s="3">
        <v>0</v>
      </c>
      <c r="Q5" s="3">
        <v>0</v>
      </c>
      <c r="R5" s="3">
        <v>0</v>
      </c>
      <c r="S5" s="3">
        <v>0</v>
      </c>
      <c r="T5" s="3">
        <v>55.388155336035403</v>
      </c>
      <c r="U5" s="3">
        <v>0</v>
      </c>
      <c r="V5" s="3">
        <v>949.22943474343003</v>
      </c>
      <c r="X5" s="3">
        <f t="shared" si="0"/>
        <v>1643.1266671528538</v>
      </c>
    </row>
    <row r="6" spans="1:24" x14ac:dyDescent="0.2">
      <c r="A6">
        <v>6003</v>
      </c>
      <c r="B6">
        <v>12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3.7872847362028401</v>
      </c>
      <c r="J6" s="3">
        <v>0</v>
      </c>
      <c r="K6" s="3">
        <v>0</v>
      </c>
      <c r="L6" s="3">
        <v>0</v>
      </c>
      <c r="M6" s="3">
        <v>904.54442029199799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X6" s="3">
        <f t="shared" si="0"/>
        <v>908.33170502820087</v>
      </c>
    </row>
    <row r="7" spans="1:24" x14ac:dyDescent="0.2">
      <c r="A7">
        <v>6003</v>
      </c>
      <c r="B7">
        <v>13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3.89474615269727</v>
      </c>
      <c r="J7" s="3">
        <v>0</v>
      </c>
      <c r="K7" s="3">
        <v>0</v>
      </c>
      <c r="L7" s="3">
        <v>0</v>
      </c>
      <c r="M7" s="3">
        <v>1937.74053889216</v>
      </c>
      <c r="N7" s="3">
        <v>0</v>
      </c>
      <c r="O7" s="3">
        <v>1580.3245746197099</v>
      </c>
      <c r="P7" s="3">
        <v>0</v>
      </c>
      <c r="Q7" s="3">
        <v>0</v>
      </c>
      <c r="R7" s="3">
        <v>0</v>
      </c>
      <c r="S7" s="3">
        <v>0</v>
      </c>
      <c r="T7" s="3">
        <v>31.723000592205601</v>
      </c>
      <c r="U7" s="3">
        <v>0</v>
      </c>
      <c r="V7" s="3">
        <v>671.57712888549304</v>
      </c>
      <c r="X7" s="3">
        <f t="shared" si="0"/>
        <v>4225.259989142266</v>
      </c>
    </row>
    <row r="8" spans="1:24" x14ac:dyDescent="0.2">
      <c r="A8">
        <v>6003</v>
      </c>
      <c r="B8">
        <v>14</v>
      </c>
      <c r="C8" s="3">
        <v>0</v>
      </c>
      <c r="D8" s="3">
        <v>0</v>
      </c>
      <c r="E8" s="3">
        <v>0</v>
      </c>
      <c r="F8" s="3">
        <v>0</v>
      </c>
      <c r="G8" s="3">
        <v>0</v>
      </c>
      <c r="H8" s="3">
        <v>0</v>
      </c>
      <c r="I8" s="3">
        <v>4.0358133656174999</v>
      </c>
      <c r="J8" s="3">
        <v>0</v>
      </c>
      <c r="K8" s="3">
        <v>0</v>
      </c>
      <c r="L8" s="3">
        <v>0</v>
      </c>
      <c r="M8" s="3">
        <v>1392.0573124149601</v>
      </c>
      <c r="N8" s="3">
        <v>0</v>
      </c>
      <c r="O8" s="3">
        <v>25.4837677761635</v>
      </c>
      <c r="P8" s="3">
        <v>0</v>
      </c>
      <c r="Q8" s="3">
        <v>0</v>
      </c>
      <c r="R8" s="3">
        <v>0</v>
      </c>
      <c r="S8" s="3">
        <v>0</v>
      </c>
      <c r="T8" s="3">
        <v>101.489843324275</v>
      </c>
      <c r="U8" s="3">
        <v>0</v>
      </c>
      <c r="V8" s="3">
        <v>50.2119421232562</v>
      </c>
      <c r="X8" s="3">
        <f t="shared" si="0"/>
        <v>1573.2786790042721</v>
      </c>
    </row>
    <row r="9" spans="1:24" x14ac:dyDescent="0.2">
      <c r="A9">
        <v>6003</v>
      </c>
      <c r="B9">
        <v>15</v>
      </c>
      <c r="C9" s="3">
        <v>0</v>
      </c>
      <c r="D9" s="3">
        <v>0</v>
      </c>
      <c r="E9" s="3">
        <v>0</v>
      </c>
      <c r="F9" s="3">
        <v>0</v>
      </c>
      <c r="G9" s="3">
        <v>0</v>
      </c>
      <c r="H9" s="3">
        <v>0</v>
      </c>
      <c r="I9" s="3">
        <v>4.21061294975918</v>
      </c>
      <c r="J9" s="3">
        <v>0</v>
      </c>
      <c r="K9" s="3">
        <v>0</v>
      </c>
      <c r="L9" s="3">
        <v>0</v>
      </c>
      <c r="M9" s="3">
        <v>422.21833755960103</v>
      </c>
      <c r="N9" s="3">
        <v>0</v>
      </c>
      <c r="O9" s="3">
        <v>27.299994607505699</v>
      </c>
      <c r="P9" s="3">
        <v>0</v>
      </c>
      <c r="Q9" s="3">
        <v>0</v>
      </c>
      <c r="R9" s="3">
        <v>0</v>
      </c>
      <c r="S9" s="3">
        <v>0</v>
      </c>
      <c r="T9" s="3">
        <v>336.78917060724399</v>
      </c>
      <c r="U9" s="3">
        <v>0</v>
      </c>
      <c r="V9" s="3">
        <v>0</v>
      </c>
      <c r="X9" s="3">
        <f t="shared" si="0"/>
        <v>790.51811572410998</v>
      </c>
    </row>
    <row r="10" spans="1:24" x14ac:dyDescent="0.2">
      <c r="A10">
        <v>6003</v>
      </c>
      <c r="B10">
        <v>16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4.4140101331204296</v>
      </c>
      <c r="J10" s="3">
        <v>0</v>
      </c>
      <c r="K10" s="3">
        <v>0</v>
      </c>
      <c r="L10" s="3">
        <v>0</v>
      </c>
      <c r="M10" s="3">
        <v>444.991340923471</v>
      </c>
      <c r="N10" s="3">
        <v>0</v>
      </c>
      <c r="O10" s="3">
        <v>88.261196052745802</v>
      </c>
      <c r="P10" s="3">
        <v>0</v>
      </c>
      <c r="Q10" s="3">
        <v>0</v>
      </c>
      <c r="R10" s="3">
        <v>0</v>
      </c>
      <c r="S10" s="3">
        <v>0</v>
      </c>
      <c r="T10" s="3">
        <v>353.083122968851</v>
      </c>
      <c r="U10" s="3">
        <v>0</v>
      </c>
      <c r="V10" s="3">
        <v>0</v>
      </c>
      <c r="X10" s="3">
        <f t="shared" si="0"/>
        <v>890.74967007818827</v>
      </c>
    </row>
    <row r="11" spans="1:24" x14ac:dyDescent="0.2">
      <c r="A11">
        <v>6003</v>
      </c>
      <c r="B11">
        <v>17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4.6640955288139203</v>
      </c>
      <c r="J11" s="3">
        <v>0</v>
      </c>
      <c r="K11" s="3">
        <v>0</v>
      </c>
      <c r="L11" s="3">
        <v>0</v>
      </c>
      <c r="M11" s="3">
        <v>1163.2566578332001</v>
      </c>
      <c r="N11" s="3">
        <v>0</v>
      </c>
      <c r="O11" s="3">
        <v>30.683387134950799</v>
      </c>
      <c r="P11" s="3">
        <v>0</v>
      </c>
      <c r="Q11" s="3">
        <v>0</v>
      </c>
      <c r="R11" s="3">
        <v>0</v>
      </c>
      <c r="S11" s="3">
        <v>0</v>
      </c>
      <c r="T11" s="3">
        <v>330.74777947257297</v>
      </c>
      <c r="U11" s="3">
        <v>0</v>
      </c>
      <c r="V11" s="3">
        <v>0</v>
      </c>
      <c r="X11" s="3">
        <f t="shared" si="0"/>
        <v>1529.3519199695379</v>
      </c>
    </row>
    <row r="12" spans="1:24" x14ac:dyDescent="0.2">
      <c r="A12">
        <v>6003</v>
      </c>
      <c r="B12">
        <v>18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4.9563870219004498</v>
      </c>
      <c r="J12" s="3">
        <v>0</v>
      </c>
      <c r="K12" s="3">
        <v>0</v>
      </c>
      <c r="L12" s="3">
        <v>0</v>
      </c>
      <c r="M12" s="3">
        <v>2110.87830005767</v>
      </c>
      <c r="N12" s="3">
        <v>0</v>
      </c>
      <c r="O12" s="3">
        <v>32.8716320988636</v>
      </c>
      <c r="P12" s="3">
        <v>0</v>
      </c>
      <c r="Q12" s="3">
        <v>0</v>
      </c>
      <c r="R12" s="3">
        <v>0</v>
      </c>
      <c r="S12" s="3">
        <v>0</v>
      </c>
      <c r="T12" s="3">
        <v>423.94963610170998</v>
      </c>
      <c r="U12" s="3">
        <v>0</v>
      </c>
      <c r="V12" s="3">
        <v>32.445592194164398</v>
      </c>
      <c r="X12" s="3">
        <f t="shared" si="0"/>
        <v>2605.1015474743085</v>
      </c>
    </row>
    <row r="13" spans="1:24" x14ac:dyDescent="0.2">
      <c r="A13">
        <v>6003</v>
      </c>
      <c r="B13">
        <v>19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5.2916977076858904</v>
      </c>
      <c r="J13" s="3">
        <v>0</v>
      </c>
      <c r="K13" s="3">
        <v>0</v>
      </c>
      <c r="L13" s="3">
        <v>0</v>
      </c>
      <c r="M13" s="3">
        <v>545.20256873383403</v>
      </c>
      <c r="N13" s="3">
        <v>0</v>
      </c>
      <c r="O13" s="3">
        <v>34.985498847527403</v>
      </c>
      <c r="P13" s="3">
        <v>0</v>
      </c>
      <c r="Q13" s="3">
        <v>0</v>
      </c>
      <c r="R13" s="3">
        <v>0</v>
      </c>
      <c r="S13" s="3">
        <v>0</v>
      </c>
      <c r="T13" s="3">
        <v>51.717803732600899</v>
      </c>
      <c r="U13" s="3">
        <v>0</v>
      </c>
      <c r="V13" s="3">
        <v>206.10956752832701</v>
      </c>
      <c r="X13" s="3">
        <f t="shared" si="0"/>
        <v>843.30713654997533</v>
      </c>
    </row>
    <row r="14" spans="1:24" x14ac:dyDescent="0.2">
      <c r="A14">
        <v>6003</v>
      </c>
      <c r="B14">
        <v>20</v>
      </c>
      <c r="C14" s="3">
        <v>0</v>
      </c>
      <c r="D14" s="3">
        <v>0</v>
      </c>
      <c r="E14" s="3">
        <v>0</v>
      </c>
      <c r="F14" s="3">
        <v>0</v>
      </c>
      <c r="G14" s="3">
        <v>0</v>
      </c>
      <c r="H14" s="3">
        <v>0</v>
      </c>
      <c r="I14" s="3">
        <v>5.6695425680616003</v>
      </c>
      <c r="J14" s="3">
        <v>0</v>
      </c>
      <c r="K14" s="3">
        <v>0</v>
      </c>
      <c r="L14" s="3">
        <v>0</v>
      </c>
      <c r="M14" s="3">
        <v>1450.6045580750399</v>
      </c>
      <c r="N14" s="3">
        <v>0</v>
      </c>
      <c r="O14" s="3">
        <v>37.391016153903003</v>
      </c>
      <c r="P14" s="3">
        <v>0</v>
      </c>
      <c r="Q14" s="3">
        <v>0</v>
      </c>
      <c r="R14" s="3">
        <v>0</v>
      </c>
      <c r="S14" s="3">
        <v>0</v>
      </c>
      <c r="T14" s="3">
        <v>55.634169254381597</v>
      </c>
      <c r="U14" s="3">
        <v>0</v>
      </c>
      <c r="V14" s="3">
        <v>2107.0897484038801</v>
      </c>
      <c r="X14" s="3">
        <f t="shared" si="0"/>
        <v>3656.389034455266</v>
      </c>
    </row>
    <row r="15" spans="1:24" x14ac:dyDescent="0.2">
      <c r="A15">
        <v>6003</v>
      </c>
      <c r="B15">
        <v>21</v>
      </c>
      <c r="C15" s="3">
        <v>0</v>
      </c>
      <c r="D15" s="3">
        <v>0</v>
      </c>
      <c r="E15" s="3">
        <v>0</v>
      </c>
      <c r="F15" s="3">
        <v>0</v>
      </c>
      <c r="G15" s="3">
        <v>0</v>
      </c>
      <c r="H15" s="3">
        <v>0</v>
      </c>
      <c r="I15" s="3">
        <v>6.07333455595509</v>
      </c>
      <c r="J15" s="3">
        <v>0</v>
      </c>
      <c r="K15" s="3">
        <v>0</v>
      </c>
      <c r="L15" s="3">
        <v>0</v>
      </c>
      <c r="M15" s="3">
        <v>678.79872901209797</v>
      </c>
      <c r="N15" s="3">
        <v>0</v>
      </c>
      <c r="O15" s="3">
        <v>39.6257881776136</v>
      </c>
      <c r="P15" s="3">
        <v>0</v>
      </c>
      <c r="Q15" s="3">
        <v>0</v>
      </c>
      <c r="R15" s="3">
        <v>0</v>
      </c>
      <c r="S15" s="3">
        <v>0</v>
      </c>
      <c r="T15" s="3">
        <v>33.663340257572401</v>
      </c>
      <c r="U15" s="3">
        <v>0</v>
      </c>
      <c r="V15" s="3">
        <v>153.79664885332301</v>
      </c>
      <c r="X15" s="3">
        <f t="shared" si="0"/>
        <v>911.95784085656192</v>
      </c>
    </row>
    <row r="16" spans="1:24" x14ac:dyDescent="0.2">
      <c r="A16">
        <v>6003</v>
      </c>
      <c r="B16">
        <v>22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7.3395419313341899</v>
      </c>
      <c r="J16" s="3">
        <v>0</v>
      </c>
      <c r="K16" s="3">
        <v>0</v>
      </c>
      <c r="L16" s="3">
        <v>0</v>
      </c>
      <c r="M16" s="3">
        <v>768.35742827922104</v>
      </c>
      <c r="N16" s="3">
        <v>0</v>
      </c>
      <c r="O16" s="3">
        <v>42.479938712336001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185.58873571043199</v>
      </c>
      <c r="X16" s="3">
        <f t="shared" si="0"/>
        <v>1003.7656446333233</v>
      </c>
    </row>
    <row r="17" spans="1:24" x14ac:dyDescent="0.2">
      <c r="A17">
        <v>6003</v>
      </c>
      <c r="B17">
        <v>23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7.8437172572978104</v>
      </c>
      <c r="J17" s="3">
        <v>0</v>
      </c>
      <c r="K17" s="3">
        <v>0</v>
      </c>
      <c r="L17" s="3">
        <v>0</v>
      </c>
      <c r="M17" s="3">
        <v>743.80759202962895</v>
      </c>
      <c r="N17" s="3">
        <v>0</v>
      </c>
      <c r="O17" s="3">
        <v>45.502153537134099</v>
      </c>
      <c r="P17" s="3">
        <v>0</v>
      </c>
      <c r="Q17" s="3">
        <v>0</v>
      </c>
      <c r="R17" s="3">
        <v>0</v>
      </c>
      <c r="S17" s="3">
        <v>198.04674249299401</v>
      </c>
      <c r="T17" s="3">
        <v>0</v>
      </c>
      <c r="U17" s="3">
        <v>0</v>
      </c>
      <c r="V17" s="3">
        <v>288.23694639601501</v>
      </c>
      <c r="X17" s="3">
        <f t="shared" si="0"/>
        <v>1283.4371517130699</v>
      </c>
    </row>
    <row r="18" spans="1:24" x14ac:dyDescent="0.2">
      <c r="A18">
        <v>6003</v>
      </c>
      <c r="B18">
        <v>24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8.3637010316113791</v>
      </c>
      <c r="J18" s="3">
        <v>0</v>
      </c>
      <c r="K18" s="3">
        <v>0</v>
      </c>
      <c r="L18" s="3">
        <v>0</v>
      </c>
      <c r="M18" s="3">
        <v>1321.31691785352</v>
      </c>
      <c r="N18" s="3">
        <v>0</v>
      </c>
      <c r="O18" s="3">
        <v>48.503938558375097</v>
      </c>
      <c r="P18" s="3">
        <v>0</v>
      </c>
      <c r="Q18" s="3">
        <v>0</v>
      </c>
      <c r="R18" s="3">
        <v>0</v>
      </c>
      <c r="S18" s="3">
        <v>242.629740761238</v>
      </c>
      <c r="T18" s="3">
        <v>0</v>
      </c>
      <c r="U18" s="3">
        <v>0</v>
      </c>
      <c r="V18" s="3">
        <v>243.15823620829499</v>
      </c>
      <c r="X18" s="3">
        <f t="shared" si="0"/>
        <v>1863.9725344130393</v>
      </c>
    </row>
    <row r="19" spans="1:24" x14ac:dyDescent="0.2">
      <c r="A19">
        <v>6003</v>
      </c>
      <c r="B19">
        <v>25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8.8522491426155501</v>
      </c>
      <c r="J19" s="3">
        <v>0</v>
      </c>
      <c r="K19" s="3">
        <v>3602.8254572904498</v>
      </c>
      <c r="L19" s="3">
        <v>0</v>
      </c>
      <c r="M19" s="3">
        <v>14798.0217564623</v>
      </c>
      <c r="N19" s="3">
        <v>0</v>
      </c>
      <c r="O19" s="3">
        <v>51.335902641099302</v>
      </c>
      <c r="P19" s="3">
        <v>3518.8316770606598</v>
      </c>
      <c r="Q19" s="3">
        <v>0</v>
      </c>
      <c r="R19" s="3">
        <v>0</v>
      </c>
      <c r="S19" s="3">
        <v>2365.9837166284901</v>
      </c>
      <c r="T19" s="3">
        <v>0</v>
      </c>
      <c r="U19" s="3">
        <v>0</v>
      </c>
      <c r="V19" s="3">
        <v>1014.27929879424</v>
      </c>
      <c r="X19" s="3">
        <f t="shared" si="0"/>
        <v>25360.130058019851</v>
      </c>
    </row>
    <row r="20" spans="1:24" x14ac:dyDescent="0.2">
      <c r="A20">
        <v>6003</v>
      </c>
      <c r="B20">
        <v>26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9.4027215229449901</v>
      </c>
      <c r="J20" s="3">
        <v>0</v>
      </c>
      <c r="K20" s="3">
        <v>276.68733310477501</v>
      </c>
      <c r="L20" s="3">
        <v>0</v>
      </c>
      <c r="M20" s="3">
        <v>941.71995924059797</v>
      </c>
      <c r="N20" s="3">
        <v>0</v>
      </c>
      <c r="O20" s="3">
        <v>52.777337280202403</v>
      </c>
      <c r="P20" s="3">
        <v>1098.8012645961901</v>
      </c>
      <c r="Q20" s="3">
        <v>0</v>
      </c>
      <c r="R20" s="3">
        <v>0</v>
      </c>
      <c r="S20" s="3">
        <v>3311.1516499116801</v>
      </c>
      <c r="T20" s="3">
        <v>174.89531898769101</v>
      </c>
      <c r="U20" s="3">
        <v>0</v>
      </c>
      <c r="V20" s="3">
        <v>0</v>
      </c>
      <c r="X20" s="3">
        <f t="shared" si="0"/>
        <v>5865.4355846440822</v>
      </c>
    </row>
    <row r="21" spans="1:24" x14ac:dyDescent="0.2">
      <c r="A21">
        <v>6003</v>
      </c>
      <c r="B21">
        <v>27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9.1792310995485202</v>
      </c>
      <c r="J21" s="3">
        <v>0</v>
      </c>
      <c r="K21" s="3">
        <v>286.304818897806</v>
      </c>
      <c r="L21" s="3">
        <v>0</v>
      </c>
      <c r="M21" s="3">
        <v>1419.2378549530499</v>
      </c>
      <c r="N21" s="3">
        <v>0</v>
      </c>
      <c r="O21" s="3">
        <v>54.341617608298201</v>
      </c>
      <c r="P21" s="3">
        <v>1329.8072928322499</v>
      </c>
      <c r="Q21" s="3">
        <v>0</v>
      </c>
      <c r="R21" s="3">
        <v>0</v>
      </c>
      <c r="S21" s="3">
        <v>131.24915112339599</v>
      </c>
      <c r="T21" s="3">
        <v>260.75754501848701</v>
      </c>
      <c r="U21" s="3">
        <v>0</v>
      </c>
      <c r="V21" s="3">
        <v>358.80890389121799</v>
      </c>
      <c r="X21" s="3">
        <f t="shared" si="0"/>
        <v>3849.6864154240543</v>
      </c>
    </row>
    <row r="22" spans="1:24" x14ac:dyDescent="0.2">
      <c r="A22">
        <v>6003</v>
      </c>
      <c r="B22">
        <v>28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9.7218591986954799</v>
      </c>
      <c r="J22" s="3">
        <v>0</v>
      </c>
      <c r="K22" s="3">
        <v>294.02477752717499</v>
      </c>
      <c r="L22" s="3">
        <v>0</v>
      </c>
      <c r="M22" s="3">
        <v>905.29872950505796</v>
      </c>
      <c r="N22" s="3">
        <v>0</v>
      </c>
      <c r="O22" s="3">
        <v>55.529376983825301</v>
      </c>
      <c r="P22" s="3">
        <v>542.04981170882297</v>
      </c>
      <c r="Q22" s="3">
        <v>0</v>
      </c>
      <c r="R22" s="3">
        <v>0</v>
      </c>
      <c r="S22" s="3">
        <v>134.08237857424999</v>
      </c>
      <c r="T22" s="3">
        <v>222.19139272910701</v>
      </c>
      <c r="U22" s="3">
        <v>383.445922574691</v>
      </c>
      <c r="V22" s="3">
        <v>193.235494997214</v>
      </c>
      <c r="X22" s="3">
        <f t="shared" si="0"/>
        <v>2739.579743798839</v>
      </c>
    </row>
    <row r="23" spans="1:24" x14ac:dyDescent="0.2">
      <c r="A23">
        <v>6003</v>
      </c>
      <c r="B23">
        <v>29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10.2591196325872</v>
      </c>
      <c r="J23" s="3">
        <v>0</v>
      </c>
      <c r="K23" s="3">
        <v>8575.28886814414</v>
      </c>
      <c r="L23" s="3">
        <v>0</v>
      </c>
      <c r="M23" s="3">
        <v>927.80659235031203</v>
      </c>
      <c r="N23" s="3">
        <v>0</v>
      </c>
      <c r="O23" s="3">
        <v>56.810352524780697</v>
      </c>
      <c r="P23" s="3">
        <v>564.32135021674901</v>
      </c>
      <c r="Q23" s="3">
        <v>0</v>
      </c>
      <c r="R23" s="3">
        <v>0</v>
      </c>
      <c r="S23" s="3">
        <v>386.72327552735601</v>
      </c>
      <c r="T23" s="3">
        <v>546.61330550548098</v>
      </c>
      <c r="U23" s="3">
        <v>396.08950684913799</v>
      </c>
      <c r="V23" s="3">
        <v>1196.72836658091</v>
      </c>
      <c r="X23" s="3">
        <f t="shared" si="0"/>
        <v>12660.640737331454</v>
      </c>
    </row>
    <row r="24" spans="1:24" x14ac:dyDescent="0.2">
      <c r="A24">
        <v>6003</v>
      </c>
      <c r="B24">
        <v>30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10.790004408461</v>
      </c>
      <c r="J24" s="3">
        <v>0</v>
      </c>
      <c r="K24" s="3">
        <v>311.239686328353</v>
      </c>
      <c r="L24" s="3">
        <v>0</v>
      </c>
      <c r="M24" s="3">
        <v>3805.84728335209</v>
      </c>
      <c r="N24" s="3">
        <v>0</v>
      </c>
      <c r="O24" s="3">
        <v>58.1930503210247</v>
      </c>
      <c r="P24" s="3">
        <v>793.866489592324</v>
      </c>
      <c r="Q24" s="3">
        <v>1462.43874722189</v>
      </c>
      <c r="R24" s="3">
        <v>0</v>
      </c>
      <c r="S24" s="3">
        <v>923.40293423569995</v>
      </c>
      <c r="T24" s="3">
        <v>1417.1230033222901</v>
      </c>
      <c r="U24" s="3">
        <v>303.98942872929598</v>
      </c>
      <c r="V24" s="3">
        <v>597.234269184715</v>
      </c>
      <c r="X24" s="3">
        <f t="shared" si="0"/>
        <v>9684.124896696143</v>
      </c>
    </row>
    <row r="25" spans="1:24" x14ac:dyDescent="0.2">
      <c r="A25">
        <v>6003</v>
      </c>
      <c r="B25">
        <v>31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14.9154490320393</v>
      </c>
      <c r="J25" s="3">
        <v>0</v>
      </c>
      <c r="K25" s="3">
        <v>325.01598333729601</v>
      </c>
      <c r="L25" s="3">
        <v>0</v>
      </c>
      <c r="M25" s="3">
        <v>978.11511002900295</v>
      </c>
      <c r="N25" s="3">
        <v>0</v>
      </c>
      <c r="O25" s="3">
        <v>59.305437341141399</v>
      </c>
      <c r="P25" s="3">
        <v>561.43873025173195</v>
      </c>
      <c r="Q25" s="3">
        <v>0</v>
      </c>
      <c r="R25" s="3">
        <v>0</v>
      </c>
      <c r="S25" s="3">
        <v>853.48863766387501</v>
      </c>
      <c r="T25" s="3">
        <v>281.92008399359003</v>
      </c>
      <c r="U25" s="3">
        <v>428.92563582378898</v>
      </c>
      <c r="V25" s="3">
        <v>1065.072806547</v>
      </c>
      <c r="X25" s="3">
        <f t="shared" si="0"/>
        <v>4568.1978740194663</v>
      </c>
    </row>
    <row r="26" spans="1:24" x14ac:dyDescent="0.2">
      <c r="A26">
        <v>6003</v>
      </c>
      <c r="B26">
        <v>32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15.519214326954099</v>
      </c>
      <c r="J26" s="3">
        <v>0</v>
      </c>
      <c r="K26" s="3">
        <v>336.03223680975202</v>
      </c>
      <c r="L26" s="3">
        <v>0</v>
      </c>
      <c r="M26" s="3">
        <v>1003.12462305124</v>
      </c>
      <c r="N26" s="3">
        <v>0</v>
      </c>
      <c r="O26" s="3">
        <v>60.5202905937143</v>
      </c>
      <c r="P26" s="3">
        <v>554.86886109149805</v>
      </c>
      <c r="Q26" s="3">
        <v>0</v>
      </c>
      <c r="R26" s="3">
        <v>0</v>
      </c>
      <c r="S26" s="3">
        <v>1493.4270567098999</v>
      </c>
      <c r="T26" s="3">
        <v>1034.73215034536</v>
      </c>
      <c r="U26" s="3">
        <v>8.7438467145852705</v>
      </c>
      <c r="V26" s="3">
        <v>194.055021644525</v>
      </c>
      <c r="X26" s="3">
        <f t="shared" si="0"/>
        <v>4701.0233012875287</v>
      </c>
    </row>
    <row r="27" spans="1:24" x14ac:dyDescent="0.2">
      <c r="A27">
        <v>6003</v>
      </c>
      <c r="B27">
        <v>33</v>
      </c>
      <c r="C27" s="3">
        <v>0</v>
      </c>
      <c r="D27" s="3">
        <v>0</v>
      </c>
      <c r="E27" s="3">
        <v>0</v>
      </c>
      <c r="F27" s="3">
        <v>0</v>
      </c>
      <c r="G27" s="3">
        <v>0</v>
      </c>
      <c r="H27" s="3">
        <v>0</v>
      </c>
      <c r="I27" s="3">
        <v>16.107307424219002</v>
      </c>
      <c r="J27" s="3">
        <v>0</v>
      </c>
      <c r="K27" s="3">
        <v>344.70468474362099</v>
      </c>
      <c r="L27" s="3">
        <v>0</v>
      </c>
      <c r="M27" s="3">
        <v>3001.5235509286899</v>
      </c>
      <c r="N27" s="3">
        <v>0</v>
      </c>
      <c r="O27" s="3">
        <v>62.027233656344002</v>
      </c>
      <c r="P27" s="3">
        <v>539.46315639027705</v>
      </c>
      <c r="Q27" s="3">
        <v>0</v>
      </c>
      <c r="R27" s="3">
        <v>0</v>
      </c>
      <c r="S27" s="3">
        <v>150.52618129882401</v>
      </c>
      <c r="T27" s="3">
        <v>225.940877151216</v>
      </c>
      <c r="U27" s="3">
        <v>0</v>
      </c>
      <c r="V27" s="3">
        <v>828.940113655961</v>
      </c>
      <c r="X27" s="3">
        <f t="shared" si="0"/>
        <v>5169.2331052491518</v>
      </c>
    </row>
    <row r="28" spans="1:24" x14ac:dyDescent="0.2">
      <c r="A28">
        <v>6003</v>
      </c>
      <c r="B28">
        <v>34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16.715507197505499</v>
      </c>
      <c r="J28" s="3">
        <v>0</v>
      </c>
      <c r="K28" s="3">
        <v>340.00416172837703</v>
      </c>
      <c r="L28" s="3">
        <v>0</v>
      </c>
      <c r="M28" s="3">
        <v>1071.0294654655199</v>
      </c>
      <c r="N28" s="3">
        <v>0</v>
      </c>
      <c r="O28" s="3">
        <v>63.924726588628197</v>
      </c>
      <c r="P28" s="3">
        <v>542.19489927108805</v>
      </c>
      <c r="Q28" s="3">
        <v>0</v>
      </c>
      <c r="R28" s="3">
        <v>0</v>
      </c>
      <c r="S28" s="3">
        <v>1348.1502618882901</v>
      </c>
      <c r="T28" s="3">
        <v>531.338798669874</v>
      </c>
      <c r="U28" s="3">
        <v>0</v>
      </c>
      <c r="V28" s="3">
        <v>256.23549730576298</v>
      </c>
      <c r="X28" s="3">
        <f t="shared" si="0"/>
        <v>4169.5933181150458</v>
      </c>
    </row>
    <row r="29" spans="1:24" x14ac:dyDescent="0.2">
      <c r="A29">
        <v>6003</v>
      </c>
      <c r="B29">
        <v>35</v>
      </c>
      <c r="C29" s="3">
        <v>0</v>
      </c>
      <c r="D29" s="3">
        <v>0</v>
      </c>
      <c r="E29" s="3">
        <v>0</v>
      </c>
      <c r="F29" s="3">
        <v>0</v>
      </c>
      <c r="G29" s="3">
        <v>0</v>
      </c>
      <c r="H29" s="3">
        <v>0</v>
      </c>
      <c r="I29" s="3">
        <v>17.344826721670401</v>
      </c>
      <c r="J29" s="3">
        <v>0</v>
      </c>
      <c r="K29" s="3">
        <v>348.34426917672698</v>
      </c>
      <c r="L29" s="3">
        <v>0</v>
      </c>
      <c r="M29" s="3">
        <v>3623.5430818869199</v>
      </c>
      <c r="N29" s="3">
        <v>0</v>
      </c>
      <c r="O29" s="3">
        <v>66.071332316561595</v>
      </c>
      <c r="P29" s="3">
        <v>541.72913258958999</v>
      </c>
      <c r="Q29" s="3">
        <v>0</v>
      </c>
      <c r="R29" s="3">
        <v>0</v>
      </c>
      <c r="S29" s="3">
        <v>156.696430164411</v>
      </c>
      <c r="T29" s="3">
        <v>213.30594830459299</v>
      </c>
      <c r="U29" s="3">
        <v>0</v>
      </c>
      <c r="V29" s="3">
        <v>217.83598596071599</v>
      </c>
      <c r="X29" s="3">
        <f t="shared" si="0"/>
        <v>5184.871007121189</v>
      </c>
    </row>
    <row r="30" spans="1:24" x14ac:dyDescent="0.2">
      <c r="A30">
        <v>6003</v>
      </c>
      <c r="B30">
        <v>36</v>
      </c>
      <c r="C30" s="3">
        <v>0</v>
      </c>
      <c r="D30" s="3">
        <v>0</v>
      </c>
      <c r="E30" s="3">
        <v>0</v>
      </c>
      <c r="F30" s="3">
        <v>0</v>
      </c>
      <c r="G30" s="3">
        <v>0</v>
      </c>
      <c r="H30" s="3">
        <v>0</v>
      </c>
      <c r="I30" s="3">
        <v>17.8470421598523</v>
      </c>
      <c r="J30" s="3">
        <v>0</v>
      </c>
      <c r="K30" s="3">
        <v>398.98043245988498</v>
      </c>
      <c r="L30" s="3">
        <v>0</v>
      </c>
      <c r="M30" s="3">
        <v>1497.6026157213901</v>
      </c>
      <c r="N30" s="3">
        <v>0</v>
      </c>
      <c r="O30" s="3">
        <v>72.715212544315804</v>
      </c>
      <c r="P30" s="3">
        <v>598.03818541508394</v>
      </c>
      <c r="Q30" s="3">
        <v>0</v>
      </c>
      <c r="R30" s="3">
        <v>0</v>
      </c>
      <c r="S30" s="3">
        <v>145.77936108936501</v>
      </c>
      <c r="T30" s="3">
        <v>212.52017750433001</v>
      </c>
      <c r="U30" s="3">
        <v>0</v>
      </c>
      <c r="V30" s="3">
        <v>254.64026780734599</v>
      </c>
      <c r="X30" s="3">
        <f t="shared" si="0"/>
        <v>3198.1232947015683</v>
      </c>
    </row>
    <row r="31" spans="1:24" x14ac:dyDescent="0.2">
      <c r="A31">
        <v>6003</v>
      </c>
      <c r="B31">
        <v>37</v>
      </c>
      <c r="C31" s="3">
        <v>0</v>
      </c>
      <c r="D31" s="3">
        <v>0</v>
      </c>
      <c r="E31" s="3">
        <v>0</v>
      </c>
      <c r="F31" s="3">
        <v>0</v>
      </c>
      <c r="G31" s="3">
        <v>0</v>
      </c>
      <c r="H31" s="3">
        <v>0</v>
      </c>
      <c r="I31" s="3">
        <v>18.455375437699601</v>
      </c>
      <c r="J31" s="3">
        <v>0</v>
      </c>
      <c r="K31" s="3">
        <v>403.40181538870502</v>
      </c>
      <c r="L31" s="3">
        <v>0</v>
      </c>
      <c r="M31" s="3">
        <v>2141.9450051787298</v>
      </c>
      <c r="N31" s="3">
        <v>0</v>
      </c>
      <c r="O31" s="3">
        <v>73.521020983157001</v>
      </c>
      <c r="P31" s="3">
        <v>604.52229411188</v>
      </c>
      <c r="Q31" s="3">
        <v>0</v>
      </c>
      <c r="R31" s="3">
        <v>0</v>
      </c>
      <c r="S31" s="3">
        <v>934.54085224155006</v>
      </c>
      <c r="T31" s="3">
        <v>1892.4863981999199</v>
      </c>
      <c r="U31" s="3">
        <v>0</v>
      </c>
      <c r="V31" s="3">
        <v>248.29143985365999</v>
      </c>
      <c r="X31" s="3">
        <f t="shared" si="0"/>
        <v>6317.1642013953024</v>
      </c>
    </row>
    <row r="32" spans="1:24" x14ac:dyDescent="0.2">
      <c r="A32">
        <v>6003</v>
      </c>
      <c r="B32">
        <v>38</v>
      </c>
      <c r="C32" s="3">
        <v>0</v>
      </c>
      <c r="D32" s="3">
        <v>0</v>
      </c>
      <c r="E32" s="3">
        <v>0</v>
      </c>
      <c r="F32" s="3">
        <v>0</v>
      </c>
      <c r="G32" s="3">
        <v>0</v>
      </c>
      <c r="H32" s="3">
        <v>0</v>
      </c>
      <c r="I32" s="3">
        <v>19.0970075497004</v>
      </c>
      <c r="J32" s="3">
        <v>0</v>
      </c>
      <c r="K32" s="3">
        <v>508.139129882053</v>
      </c>
      <c r="L32" s="3">
        <v>0</v>
      </c>
      <c r="M32" s="3">
        <v>3175.8070876429401</v>
      </c>
      <c r="N32" s="3">
        <v>0</v>
      </c>
      <c r="O32" s="3">
        <v>73.769655444201504</v>
      </c>
      <c r="P32" s="3">
        <v>589.11739067762005</v>
      </c>
      <c r="Q32" s="3">
        <v>0</v>
      </c>
      <c r="R32" s="3">
        <v>0</v>
      </c>
      <c r="S32" s="3">
        <v>156.71807527764301</v>
      </c>
      <c r="T32" s="3">
        <v>203.071842935722</v>
      </c>
      <c r="U32" s="3">
        <v>0</v>
      </c>
      <c r="V32" s="3">
        <v>257.30026964240301</v>
      </c>
      <c r="X32" s="3">
        <f t="shared" si="0"/>
        <v>4983.0204590522826</v>
      </c>
    </row>
    <row r="33" spans="1:25" x14ac:dyDescent="0.2">
      <c r="A33">
        <v>6003</v>
      </c>
      <c r="B33">
        <v>39</v>
      </c>
      <c r="C33" s="3">
        <v>0</v>
      </c>
      <c r="D33" s="3">
        <v>0</v>
      </c>
      <c r="E33" s="3">
        <v>0</v>
      </c>
      <c r="F33" s="3">
        <v>0</v>
      </c>
      <c r="G33" s="3">
        <v>0</v>
      </c>
      <c r="H33" s="3">
        <v>0</v>
      </c>
      <c r="I33" s="3">
        <v>19.776179405122502</v>
      </c>
      <c r="J33" s="3">
        <v>0</v>
      </c>
      <c r="K33" s="3">
        <v>1226.61529380822</v>
      </c>
      <c r="L33" s="3">
        <v>0</v>
      </c>
      <c r="M33" s="3">
        <v>2609.6136387660899</v>
      </c>
      <c r="N33" s="3">
        <v>0</v>
      </c>
      <c r="O33" s="3">
        <v>74.011175011575403</v>
      </c>
      <c r="P33" s="3">
        <v>0</v>
      </c>
      <c r="Q33" s="3">
        <v>0</v>
      </c>
      <c r="R33" s="3">
        <v>0</v>
      </c>
      <c r="S33" s="3">
        <v>161.87713110754299</v>
      </c>
      <c r="T33" s="3">
        <v>667.28619580707698</v>
      </c>
      <c r="U33" s="3">
        <v>0</v>
      </c>
      <c r="V33" s="3">
        <v>467.84344297636397</v>
      </c>
      <c r="X33" s="3">
        <f t="shared" si="0"/>
        <v>5227.0230568819916</v>
      </c>
    </row>
    <row r="34" spans="1:25" x14ac:dyDescent="0.2">
      <c r="A34">
        <v>6003</v>
      </c>
      <c r="B34">
        <v>40</v>
      </c>
      <c r="C34" s="3">
        <v>0</v>
      </c>
      <c r="D34" s="3">
        <v>0</v>
      </c>
      <c r="E34" s="3">
        <v>0</v>
      </c>
      <c r="F34" s="3">
        <v>0</v>
      </c>
      <c r="G34" s="3">
        <v>0</v>
      </c>
      <c r="H34" s="3">
        <v>0</v>
      </c>
      <c r="I34" s="3">
        <v>20.49239709918</v>
      </c>
      <c r="J34" s="3">
        <v>0</v>
      </c>
      <c r="K34" s="3">
        <v>638.89757260838701</v>
      </c>
      <c r="L34" s="3">
        <v>0</v>
      </c>
      <c r="M34" s="3">
        <v>1655.1121680813501</v>
      </c>
      <c r="N34" s="3">
        <v>0</v>
      </c>
      <c r="O34" s="3">
        <v>73.725670992925799</v>
      </c>
      <c r="P34" s="3">
        <v>0</v>
      </c>
      <c r="Q34" s="3">
        <v>5595.3086977169696</v>
      </c>
      <c r="R34" s="3">
        <v>0</v>
      </c>
      <c r="S34" s="3">
        <v>901.18967026800601</v>
      </c>
      <c r="T34" s="3">
        <v>417.22561187071102</v>
      </c>
      <c r="U34" s="3">
        <v>0</v>
      </c>
      <c r="V34" s="3">
        <v>2363.1628714777498</v>
      </c>
      <c r="X34" s="3">
        <f t="shared" si="0"/>
        <v>11665.11466011528</v>
      </c>
    </row>
    <row r="35" spans="1:25" x14ac:dyDescent="0.2">
      <c r="A35">
        <v>6003</v>
      </c>
      <c r="B35">
        <v>41</v>
      </c>
      <c r="C35" s="3">
        <v>0</v>
      </c>
      <c r="D35" s="3">
        <v>0</v>
      </c>
      <c r="E35" s="3">
        <v>0</v>
      </c>
      <c r="F35" s="3">
        <v>0</v>
      </c>
      <c r="G35" s="3">
        <v>0</v>
      </c>
      <c r="H35" s="3">
        <v>0</v>
      </c>
      <c r="I35" s="3">
        <v>21.2322133942717</v>
      </c>
      <c r="J35" s="3">
        <v>0</v>
      </c>
      <c r="K35" s="3">
        <v>409.47979368464303</v>
      </c>
      <c r="L35" s="3">
        <v>0</v>
      </c>
      <c r="M35" s="3">
        <v>1681.6372149434201</v>
      </c>
      <c r="N35" s="3">
        <v>0</v>
      </c>
      <c r="O35" s="3">
        <v>382.353823759546</v>
      </c>
      <c r="P35" s="3">
        <v>0</v>
      </c>
      <c r="Q35" s="3">
        <v>0</v>
      </c>
      <c r="R35" s="3">
        <v>0</v>
      </c>
      <c r="S35" s="3">
        <v>171.51685652470201</v>
      </c>
      <c r="T35" s="3">
        <v>470.952518444166</v>
      </c>
      <c r="U35" s="3">
        <v>0</v>
      </c>
      <c r="V35" s="3">
        <v>517.42557334384298</v>
      </c>
      <c r="X35" s="3">
        <f t="shared" si="0"/>
        <v>3654.5979940945922</v>
      </c>
    </row>
    <row r="36" spans="1:25" x14ac:dyDescent="0.2">
      <c r="A36">
        <v>6003</v>
      </c>
      <c r="B36">
        <v>42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22.835736137486901</v>
      </c>
      <c r="J36" s="3">
        <v>0</v>
      </c>
      <c r="K36" s="3">
        <v>154.114569474284</v>
      </c>
      <c r="L36" s="3">
        <v>0</v>
      </c>
      <c r="M36" s="3">
        <v>2410.1962237074699</v>
      </c>
      <c r="N36" s="3">
        <v>0</v>
      </c>
      <c r="O36" s="3">
        <v>73.570413471152804</v>
      </c>
      <c r="P36" s="3">
        <v>0</v>
      </c>
      <c r="Q36" s="3">
        <v>0</v>
      </c>
      <c r="R36" s="3">
        <v>0</v>
      </c>
      <c r="S36" s="3">
        <v>231.023726286618</v>
      </c>
      <c r="T36" s="3">
        <v>457.112395365662</v>
      </c>
      <c r="U36" s="3">
        <v>0</v>
      </c>
      <c r="V36" s="3">
        <v>545.47832729936897</v>
      </c>
      <c r="X36" s="3">
        <f t="shared" si="0"/>
        <v>3894.3313917420428</v>
      </c>
    </row>
    <row r="37" spans="1:25" x14ac:dyDescent="0.2">
      <c r="A37">
        <v>6003</v>
      </c>
      <c r="B37">
        <v>43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>
        <v>0</v>
      </c>
      <c r="I37" s="3">
        <v>23.679906257847101</v>
      </c>
      <c r="J37" s="3">
        <v>0</v>
      </c>
      <c r="K37" s="3">
        <v>678.61305066972</v>
      </c>
      <c r="L37" s="3">
        <v>0</v>
      </c>
      <c r="M37" s="3">
        <v>3341.81014634948</v>
      </c>
      <c r="N37" s="3">
        <v>0</v>
      </c>
      <c r="O37" s="3">
        <v>1462.2482165583399</v>
      </c>
      <c r="P37" s="3">
        <v>0</v>
      </c>
      <c r="Q37" s="3">
        <v>0</v>
      </c>
      <c r="R37" s="3">
        <v>0</v>
      </c>
      <c r="S37" s="3">
        <v>364.61099038725501</v>
      </c>
      <c r="T37" s="3">
        <v>187.05183737853699</v>
      </c>
      <c r="U37" s="3">
        <v>0</v>
      </c>
      <c r="V37" s="3">
        <v>485.20546478393101</v>
      </c>
      <c r="X37" s="3">
        <f t="shared" si="0"/>
        <v>6543.2196123851099</v>
      </c>
    </row>
    <row r="38" spans="1:25" x14ac:dyDescent="0.2">
      <c r="A38">
        <v>6003</v>
      </c>
      <c r="B38">
        <v>44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24.545590845254001</v>
      </c>
      <c r="J38" s="3">
        <v>0</v>
      </c>
      <c r="K38" s="3">
        <v>0</v>
      </c>
      <c r="L38" s="3">
        <v>0</v>
      </c>
      <c r="M38" s="3">
        <v>1806.8418202958201</v>
      </c>
      <c r="N38" s="3">
        <v>0</v>
      </c>
      <c r="O38" s="3">
        <v>96.832480039569703</v>
      </c>
      <c r="P38" s="3">
        <v>0</v>
      </c>
      <c r="Q38" s="3">
        <v>0</v>
      </c>
      <c r="R38" s="3">
        <v>0</v>
      </c>
      <c r="S38" s="3">
        <v>366.76568906766499</v>
      </c>
      <c r="T38" s="3">
        <v>446.67628548065898</v>
      </c>
      <c r="U38" s="3">
        <v>0</v>
      </c>
      <c r="V38" s="3">
        <v>540.32875410602298</v>
      </c>
      <c r="X38" s="3">
        <f t="shared" si="0"/>
        <v>3281.9906198349909</v>
      </c>
    </row>
    <row r="39" spans="1:25" x14ac:dyDescent="0.2">
      <c r="A39">
        <v>6003</v>
      </c>
      <c r="B39">
        <v>45</v>
      </c>
      <c r="C39" s="3">
        <v>0</v>
      </c>
      <c r="D39" s="3">
        <v>0</v>
      </c>
      <c r="E39" s="3">
        <v>0</v>
      </c>
      <c r="F39" s="3">
        <v>0</v>
      </c>
      <c r="G39" s="3">
        <v>0</v>
      </c>
      <c r="H39" s="3">
        <v>0</v>
      </c>
      <c r="I39" s="3">
        <v>25.387965424052702</v>
      </c>
      <c r="J39" s="3">
        <v>0</v>
      </c>
      <c r="K39" s="3">
        <v>0</v>
      </c>
      <c r="L39" s="3">
        <v>0</v>
      </c>
      <c r="M39" s="3">
        <v>2725.27103808418</v>
      </c>
      <c r="N39" s="3">
        <v>0</v>
      </c>
      <c r="O39" s="3">
        <v>99.568559673401197</v>
      </c>
      <c r="P39" s="3">
        <v>0</v>
      </c>
      <c r="Q39" s="3">
        <v>0</v>
      </c>
      <c r="R39" s="3">
        <v>0</v>
      </c>
      <c r="S39" s="3">
        <v>370.550234537618</v>
      </c>
      <c r="T39" s="3">
        <v>616.73065232768397</v>
      </c>
      <c r="U39" s="3">
        <v>0</v>
      </c>
      <c r="V39" s="3">
        <v>1284.1638455111399</v>
      </c>
      <c r="X39" s="3">
        <f>+SUM(C39:V39)</f>
        <v>5121.6722955580753</v>
      </c>
    </row>
    <row r="40" spans="1:25" x14ac:dyDescent="0.2">
      <c r="C40" s="3">
        <f t="shared" ref="C40:L40" si="1">+SUM(C2:C39)</f>
        <v>0</v>
      </c>
      <c r="D40" s="3">
        <f t="shared" si="1"/>
        <v>0</v>
      </c>
      <c r="E40" s="3">
        <f t="shared" si="1"/>
        <v>0</v>
      </c>
      <c r="F40" s="3">
        <f t="shared" si="1"/>
        <v>0</v>
      </c>
      <c r="G40" s="3">
        <f t="shared" si="1"/>
        <v>0</v>
      </c>
      <c r="H40" s="3">
        <f t="shared" si="1"/>
        <v>0</v>
      </c>
      <c r="I40" s="3">
        <f t="shared" si="1"/>
        <v>426.52405688161235</v>
      </c>
      <c r="J40" s="3">
        <f t="shared" si="1"/>
        <v>0</v>
      </c>
      <c r="K40" s="3">
        <f t="shared" si="1"/>
        <v>19458.71393506437</v>
      </c>
      <c r="L40" s="3">
        <f t="shared" si="1"/>
        <v>0</v>
      </c>
      <c r="M40" s="3">
        <f>+SUM(M2:M39)</f>
        <v>74157.493082716159</v>
      </c>
      <c r="N40" s="3">
        <f t="shared" ref="N40:V40" si="2">+SUM(N2:N39)</f>
        <v>0</v>
      </c>
      <c r="O40" s="3">
        <f t="shared" si="2"/>
        <v>5517.6147135211704</v>
      </c>
      <c r="P40" s="3">
        <f t="shared" si="2"/>
        <v>12379.050535805764</v>
      </c>
      <c r="Q40" s="3">
        <f t="shared" si="2"/>
        <v>12653.056142655829</v>
      </c>
      <c r="R40" s="3">
        <f t="shared" si="2"/>
        <v>0</v>
      </c>
      <c r="S40" s="3">
        <f t="shared" si="2"/>
        <v>15500.130743768366</v>
      </c>
      <c r="T40" s="3">
        <f t="shared" si="2"/>
        <v>13160.620470819566</v>
      </c>
      <c r="U40" s="3">
        <f t="shared" si="2"/>
        <v>1640.9435267654162</v>
      </c>
      <c r="V40" s="3">
        <f t="shared" si="2"/>
        <v>18962.839172815777</v>
      </c>
      <c r="Y40" s="3">
        <f>+SUM(C40:V40)</f>
        <v>173856.98638081402</v>
      </c>
    </row>
    <row r="41" spans="1:25" ht="17" thickBot="1" x14ac:dyDescent="0.25">
      <c r="A41" s="4"/>
      <c r="B41" s="4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</row>
    <row r="42" spans="1:25" ht="17" thickTop="1" x14ac:dyDescent="0.2">
      <c r="A42">
        <v>6004</v>
      </c>
      <c r="B42">
        <v>8</v>
      </c>
      <c r="C42" s="3">
        <v>0</v>
      </c>
      <c r="D42" s="3">
        <v>0</v>
      </c>
      <c r="E42" s="3">
        <v>0</v>
      </c>
      <c r="F42" s="3">
        <v>0</v>
      </c>
      <c r="G42" s="3">
        <v>0</v>
      </c>
      <c r="H42" s="3">
        <v>0</v>
      </c>
      <c r="I42" s="3">
        <v>9.0939510815845004E-2</v>
      </c>
      <c r="J42" s="3">
        <v>0</v>
      </c>
      <c r="K42" s="3">
        <v>0</v>
      </c>
      <c r="L42" s="3">
        <v>0</v>
      </c>
      <c r="M42" s="3">
        <v>2117.8583628678998</v>
      </c>
      <c r="N42" s="3">
        <v>0</v>
      </c>
      <c r="O42" s="3">
        <v>0</v>
      </c>
      <c r="P42" s="3">
        <v>0</v>
      </c>
      <c r="Q42" s="3">
        <v>0</v>
      </c>
      <c r="R42" s="3">
        <v>0</v>
      </c>
      <c r="S42" s="3">
        <v>0</v>
      </c>
      <c r="T42" s="3">
        <v>0</v>
      </c>
      <c r="U42" s="3">
        <v>51.902558237164698</v>
      </c>
      <c r="V42" s="3">
        <v>0</v>
      </c>
      <c r="X42" s="3">
        <f t="shared" ref="X42:X78" si="3">+SUM(C42:V42)</f>
        <v>2169.8518606158805</v>
      </c>
    </row>
    <row r="43" spans="1:25" x14ac:dyDescent="0.2">
      <c r="A43">
        <v>6004</v>
      </c>
      <c r="B43">
        <v>9</v>
      </c>
      <c r="C43" s="3">
        <v>0</v>
      </c>
      <c r="D43" s="3">
        <v>0</v>
      </c>
      <c r="E43" s="3">
        <v>0</v>
      </c>
      <c r="F43" s="3">
        <v>0</v>
      </c>
      <c r="G43" s="3">
        <v>0</v>
      </c>
      <c r="H43" s="3">
        <v>0</v>
      </c>
      <c r="I43" s="3">
        <v>8.4500275738988204E-2</v>
      </c>
      <c r="J43" s="3">
        <v>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0</v>
      </c>
      <c r="R43" s="3">
        <v>0</v>
      </c>
      <c r="S43" s="3">
        <v>0</v>
      </c>
      <c r="T43" s="3">
        <v>926.70728150981995</v>
      </c>
      <c r="U43" s="3">
        <v>40.998840845540997</v>
      </c>
      <c r="V43" s="3">
        <v>1130.74590216664</v>
      </c>
      <c r="X43" s="3">
        <f t="shared" si="3"/>
        <v>2098.5365247977397</v>
      </c>
    </row>
    <row r="44" spans="1:25" x14ac:dyDescent="0.2">
      <c r="A44">
        <v>6004</v>
      </c>
      <c r="B44">
        <v>10</v>
      </c>
      <c r="C44" s="3">
        <v>0</v>
      </c>
      <c r="D44" s="3">
        <v>0</v>
      </c>
      <c r="E44" s="3">
        <v>0</v>
      </c>
      <c r="F44" s="3">
        <v>0</v>
      </c>
      <c r="G44" s="3">
        <v>0</v>
      </c>
      <c r="H44" s="3">
        <v>0</v>
      </c>
      <c r="I44" s="3">
        <v>0.15827755924377401</v>
      </c>
      <c r="J44" s="3">
        <v>0</v>
      </c>
      <c r="K44" s="3">
        <v>0</v>
      </c>
      <c r="L44" s="3">
        <v>0</v>
      </c>
      <c r="M44" s="3">
        <v>2774.0402116534801</v>
      </c>
      <c r="N44" s="3">
        <v>0</v>
      </c>
      <c r="O44" s="3">
        <v>0</v>
      </c>
      <c r="P44" s="3">
        <v>0</v>
      </c>
      <c r="Q44" s="3">
        <v>5716.5253550141597</v>
      </c>
      <c r="R44" s="3">
        <v>0</v>
      </c>
      <c r="S44" s="3">
        <v>0</v>
      </c>
      <c r="T44" s="3">
        <v>147.193628546486</v>
      </c>
      <c r="U44" s="3">
        <v>28.476362316652899</v>
      </c>
      <c r="V44" s="3">
        <v>131.372166835146</v>
      </c>
      <c r="X44" s="3">
        <f t="shared" si="3"/>
        <v>8797.7660019251671</v>
      </c>
    </row>
    <row r="45" spans="1:25" x14ac:dyDescent="0.2">
      <c r="A45">
        <v>6004</v>
      </c>
      <c r="B45">
        <v>11</v>
      </c>
      <c r="C45" s="3">
        <v>0</v>
      </c>
      <c r="D45" s="3">
        <v>0</v>
      </c>
      <c r="E45" s="3">
        <v>0</v>
      </c>
      <c r="F45" s="3">
        <v>0</v>
      </c>
      <c r="G45" s="3">
        <v>0</v>
      </c>
      <c r="H45" s="3">
        <v>0</v>
      </c>
      <c r="I45" s="3">
        <v>15.5761399242782</v>
      </c>
      <c r="J45" s="3">
        <v>0</v>
      </c>
      <c r="K45" s="3">
        <v>0</v>
      </c>
      <c r="L45" s="3">
        <v>0</v>
      </c>
      <c r="M45" s="3">
        <v>0</v>
      </c>
      <c r="N45" s="3">
        <v>1884.6508828555</v>
      </c>
      <c r="O45" s="3">
        <v>178.16577533524699</v>
      </c>
      <c r="P45" s="3">
        <v>0</v>
      </c>
      <c r="Q45" s="3">
        <v>0</v>
      </c>
      <c r="R45" s="3">
        <v>0</v>
      </c>
      <c r="S45" s="3">
        <v>0</v>
      </c>
      <c r="T45" s="3">
        <v>532.82829824380201</v>
      </c>
      <c r="U45" s="3">
        <v>0</v>
      </c>
      <c r="V45" s="3">
        <v>2087.0096019002799</v>
      </c>
      <c r="X45" s="3">
        <f t="shared" si="3"/>
        <v>4698.2306982591072</v>
      </c>
    </row>
    <row r="46" spans="1:25" x14ac:dyDescent="0.2">
      <c r="A46">
        <v>6004</v>
      </c>
      <c r="B46">
        <v>12</v>
      </c>
      <c r="C46" s="3">
        <v>0</v>
      </c>
      <c r="D46" s="3">
        <v>0</v>
      </c>
      <c r="E46" s="3">
        <v>0</v>
      </c>
      <c r="F46" s="3">
        <v>0</v>
      </c>
      <c r="G46" s="3">
        <v>0</v>
      </c>
      <c r="H46" s="3">
        <v>0</v>
      </c>
      <c r="I46" s="3">
        <v>17.512375722593301</v>
      </c>
      <c r="J46" s="3">
        <v>0</v>
      </c>
      <c r="K46" s="3">
        <v>0</v>
      </c>
      <c r="L46" s="3">
        <v>0</v>
      </c>
      <c r="M46" s="3">
        <v>0</v>
      </c>
      <c r="N46" s="3">
        <v>1874.13291418321</v>
      </c>
      <c r="O46" s="3">
        <v>664.99401878183198</v>
      </c>
      <c r="P46" s="3">
        <v>0</v>
      </c>
      <c r="Q46" s="3">
        <v>0</v>
      </c>
      <c r="R46" s="3">
        <v>0</v>
      </c>
      <c r="S46" s="3">
        <v>0</v>
      </c>
      <c r="T46" s="3">
        <v>553.18114571811498</v>
      </c>
      <c r="U46" s="3">
        <v>0</v>
      </c>
      <c r="V46" s="3">
        <v>143.82069686254499</v>
      </c>
      <c r="X46" s="3">
        <f t="shared" si="3"/>
        <v>3253.6411512682948</v>
      </c>
    </row>
    <row r="47" spans="1:25" x14ac:dyDescent="0.2">
      <c r="A47">
        <v>6004</v>
      </c>
      <c r="B47">
        <v>13</v>
      </c>
      <c r="C47" s="3">
        <v>0</v>
      </c>
      <c r="D47" s="3">
        <v>0</v>
      </c>
      <c r="E47" s="3">
        <v>0</v>
      </c>
      <c r="F47" s="3">
        <v>0</v>
      </c>
      <c r="G47" s="3">
        <v>0</v>
      </c>
      <c r="H47" s="3">
        <v>0</v>
      </c>
      <c r="I47" s="3">
        <v>21.841417907883301</v>
      </c>
      <c r="J47" s="3">
        <v>0</v>
      </c>
      <c r="K47" s="3">
        <v>0</v>
      </c>
      <c r="L47" s="3">
        <v>0</v>
      </c>
      <c r="M47" s="3">
        <v>391.67381134682699</v>
      </c>
      <c r="N47" s="3">
        <v>1865.73225959197</v>
      </c>
      <c r="O47" s="3">
        <v>1809.2048223781301</v>
      </c>
      <c r="P47" s="3">
        <v>0</v>
      </c>
      <c r="Q47" s="3">
        <v>0</v>
      </c>
      <c r="R47" s="3">
        <v>0</v>
      </c>
      <c r="S47" s="3">
        <v>0</v>
      </c>
      <c r="T47" s="3">
        <v>531.88910862824696</v>
      </c>
      <c r="U47" s="3">
        <v>0</v>
      </c>
      <c r="V47" s="3">
        <v>1310.23304747668</v>
      </c>
      <c r="X47" s="3">
        <f t="shared" si="3"/>
        <v>5930.5744673297377</v>
      </c>
    </row>
    <row r="48" spans="1:25" x14ac:dyDescent="0.2">
      <c r="A48">
        <v>6004</v>
      </c>
      <c r="B48">
        <v>14</v>
      </c>
      <c r="C48" s="3">
        <v>0</v>
      </c>
      <c r="D48" s="3">
        <v>0</v>
      </c>
      <c r="E48" s="3">
        <v>0</v>
      </c>
      <c r="F48" s="3">
        <v>0</v>
      </c>
      <c r="G48" s="3">
        <v>0</v>
      </c>
      <c r="H48" s="3">
        <v>0</v>
      </c>
      <c r="I48" s="3">
        <v>29.873415064548301</v>
      </c>
      <c r="J48" s="3">
        <v>0</v>
      </c>
      <c r="K48" s="3">
        <v>0</v>
      </c>
      <c r="L48" s="3">
        <v>0</v>
      </c>
      <c r="M48" s="3">
        <v>0</v>
      </c>
      <c r="N48" s="3">
        <v>1913.3597078907701</v>
      </c>
      <c r="O48" s="3">
        <v>257.07307753232402</v>
      </c>
      <c r="P48" s="3">
        <v>0</v>
      </c>
      <c r="Q48" s="3">
        <v>0</v>
      </c>
      <c r="R48" s="3">
        <v>0</v>
      </c>
      <c r="S48" s="3">
        <v>0</v>
      </c>
      <c r="T48" s="3">
        <v>578.65415855818298</v>
      </c>
      <c r="U48" s="3">
        <v>0</v>
      </c>
      <c r="V48" s="3">
        <v>707.96091023805195</v>
      </c>
      <c r="X48" s="3">
        <f t="shared" si="3"/>
        <v>3486.9212692838773</v>
      </c>
    </row>
    <row r="49" spans="1:24" x14ac:dyDescent="0.2">
      <c r="A49">
        <v>6004</v>
      </c>
      <c r="B49">
        <v>15</v>
      </c>
      <c r="C49" s="3">
        <v>0</v>
      </c>
      <c r="D49" s="3">
        <v>0</v>
      </c>
      <c r="E49" s="3">
        <v>0</v>
      </c>
      <c r="F49" s="3">
        <v>0</v>
      </c>
      <c r="G49" s="3">
        <v>0</v>
      </c>
      <c r="H49" s="3">
        <v>0</v>
      </c>
      <c r="I49" s="3">
        <v>33.634040325944</v>
      </c>
      <c r="J49" s="3">
        <v>0</v>
      </c>
      <c r="K49" s="3">
        <v>0</v>
      </c>
      <c r="L49" s="3">
        <v>0</v>
      </c>
      <c r="M49" s="3">
        <v>0</v>
      </c>
      <c r="N49" s="3">
        <v>1940.50450648778</v>
      </c>
      <c r="O49" s="3">
        <v>261.852273338575</v>
      </c>
      <c r="P49" s="3">
        <v>0</v>
      </c>
      <c r="Q49" s="3">
        <v>0</v>
      </c>
      <c r="R49" s="3">
        <v>0</v>
      </c>
      <c r="S49" s="3">
        <v>0</v>
      </c>
      <c r="T49" s="3">
        <v>1937.93194686012</v>
      </c>
      <c r="U49" s="3">
        <v>0</v>
      </c>
      <c r="V49" s="3">
        <v>0</v>
      </c>
      <c r="X49" s="3">
        <f t="shared" si="3"/>
        <v>4173.9227670124192</v>
      </c>
    </row>
    <row r="50" spans="1:24" x14ac:dyDescent="0.2">
      <c r="A50">
        <v>6004</v>
      </c>
      <c r="B50">
        <v>16</v>
      </c>
      <c r="C50" s="3">
        <v>0</v>
      </c>
      <c r="D50" s="3">
        <v>0</v>
      </c>
      <c r="E50" s="3">
        <v>0</v>
      </c>
      <c r="F50" s="3">
        <v>0</v>
      </c>
      <c r="G50" s="3">
        <v>0</v>
      </c>
      <c r="H50" s="3">
        <v>0</v>
      </c>
      <c r="I50" s="3">
        <v>37.587430071390997</v>
      </c>
      <c r="J50" s="3">
        <v>0</v>
      </c>
      <c r="K50" s="3">
        <v>0</v>
      </c>
      <c r="L50" s="3">
        <v>0</v>
      </c>
      <c r="M50" s="3">
        <v>0</v>
      </c>
      <c r="N50" s="3">
        <v>1964.8193991918999</v>
      </c>
      <c r="O50" s="3">
        <v>326.93100805658298</v>
      </c>
      <c r="P50" s="3">
        <v>0</v>
      </c>
      <c r="Q50" s="3">
        <v>0</v>
      </c>
      <c r="R50" s="3">
        <v>0</v>
      </c>
      <c r="S50" s="3">
        <v>0</v>
      </c>
      <c r="T50" s="3">
        <v>1964.82026839989</v>
      </c>
      <c r="U50" s="3">
        <v>0</v>
      </c>
      <c r="V50" s="3">
        <v>0</v>
      </c>
      <c r="X50" s="3">
        <f t="shared" si="3"/>
        <v>4294.1581057197636</v>
      </c>
    </row>
    <row r="51" spans="1:24" x14ac:dyDescent="0.2">
      <c r="A51">
        <v>6004</v>
      </c>
      <c r="B51">
        <v>17</v>
      </c>
      <c r="C51" s="3">
        <v>0</v>
      </c>
      <c r="D51" s="3">
        <v>0</v>
      </c>
      <c r="E51" s="3">
        <v>0</v>
      </c>
      <c r="F51" s="3">
        <v>0</v>
      </c>
      <c r="G51" s="3">
        <v>0</v>
      </c>
      <c r="H51" s="3">
        <v>0</v>
      </c>
      <c r="I51" s="3">
        <v>41.795041937759002</v>
      </c>
      <c r="J51" s="3">
        <v>0</v>
      </c>
      <c r="K51" s="3">
        <v>0</v>
      </c>
      <c r="L51" s="3">
        <v>0</v>
      </c>
      <c r="M51" s="3">
        <v>0</v>
      </c>
      <c r="N51" s="3">
        <v>1992.78924962202</v>
      </c>
      <c r="O51" s="3">
        <v>273.90298210063099</v>
      </c>
      <c r="P51" s="3">
        <v>0</v>
      </c>
      <c r="Q51" s="3">
        <v>0</v>
      </c>
      <c r="R51" s="3">
        <v>0</v>
      </c>
      <c r="S51" s="3">
        <v>0</v>
      </c>
      <c r="T51" s="3">
        <v>1880.6118403845501</v>
      </c>
      <c r="U51" s="3">
        <v>0</v>
      </c>
      <c r="V51" s="3">
        <v>0</v>
      </c>
      <c r="X51" s="3">
        <f t="shared" si="3"/>
        <v>4189.0991140449596</v>
      </c>
    </row>
    <row r="52" spans="1:24" x14ac:dyDescent="0.2">
      <c r="A52">
        <v>6004</v>
      </c>
      <c r="B52">
        <v>18</v>
      </c>
      <c r="C52" s="3">
        <v>0</v>
      </c>
      <c r="D52" s="3">
        <v>0</v>
      </c>
      <c r="E52" s="3">
        <v>0</v>
      </c>
      <c r="F52" s="3">
        <v>0</v>
      </c>
      <c r="G52" s="3">
        <v>0</v>
      </c>
      <c r="H52" s="3">
        <v>0</v>
      </c>
      <c r="I52" s="3">
        <v>46.196281216373599</v>
      </c>
      <c r="J52" s="3">
        <v>0</v>
      </c>
      <c r="K52" s="3">
        <v>0</v>
      </c>
      <c r="L52" s="3">
        <v>0</v>
      </c>
      <c r="M52" s="3">
        <v>0</v>
      </c>
      <c r="N52" s="3">
        <v>2018.2861330087101</v>
      </c>
      <c r="O52" s="3">
        <v>280.41337583832001</v>
      </c>
      <c r="P52" s="3">
        <v>0</v>
      </c>
      <c r="Q52" s="3">
        <v>0</v>
      </c>
      <c r="R52" s="3">
        <v>0</v>
      </c>
      <c r="S52" s="3">
        <v>0</v>
      </c>
      <c r="T52" s="3">
        <v>849.89740540780394</v>
      </c>
      <c r="U52" s="3">
        <v>0</v>
      </c>
      <c r="V52" s="3">
        <v>759.25549950015795</v>
      </c>
      <c r="X52" s="3">
        <f t="shared" si="3"/>
        <v>3954.0486949713654</v>
      </c>
    </row>
    <row r="53" spans="1:24" x14ac:dyDescent="0.2">
      <c r="A53">
        <v>6004</v>
      </c>
      <c r="B53">
        <v>19</v>
      </c>
      <c r="C53" s="3">
        <v>0</v>
      </c>
      <c r="D53" s="3">
        <v>0</v>
      </c>
      <c r="E53" s="3">
        <v>0</v>
      </c>
      <c r="F53" s="3">
        <v>0</v>
      </c>
      <c r="G53" s="3">
        <v>0</v>
      </c>
      <c r="H53" s="3">
        <v>0</v>
      </c>
      <c r="I53" s="3">
        <v>50.772348308295498</v>
      </c>
      <c r="J53" s="3">
        <v>0</v>
      </c>
      <c r="K53" s="3">
        <v>0</v>
      </c>
      <c r="L53" s="3">
        <v>0</v>
      </c>
      <c r="M53" s="3">
        <v>0</v>
      </c>
      <c r="N53" s="3">
        <v>2043.03762357201</v>
      </c>
      <c r="O53" s="3">
        <v>286.80730554002997</v>
      </c>
      <c r="P53" s="3">
        <v>0</v>
      </c>
      <c r="Q53" s="3">
        <v>0</v>
      </c>
      <c r="R53" s="3">
        <v>0</v>
      </c>
      <c r="S53" s="3">
        <v>0</v>
      </c>
      <c r="T53" s="3">
        <v>1624.7409411412</v>
      </c>
      <c r="U53" s="3">
        <v>0</v>
      </c>
      <c r="V53" s="3">
        <v>242.91706329916701</v>
      </c>
      <c r="X53" s="3">
        <f t="shared" si="3"/>
        <v>4248.2752818607023</v>
      </c>
    </row>
    <row r="54" spans="1:24" x14ac:dyDescent="0.2">
      <c r="A54">
        <v>6004</v>
      </c>
      <c r="B54">
        <v>20</v>
      </c>
      <c r="C54" s="3">
        <v>0</v>
      </c>
      <c r="D54" s="3">
        <v>0</v>
      </c>
      <c r="E54" s="3">
        <v>0</v>
      </c>
      <c r="F54" s="3">
        <v>0</v>
      </c>
      <c r="G54" s="3">
        <v>0</v>
      </c>
      <c r="H54" s="3">
        <v>0</v>
      </c>
      <c r="I54" s="3">
        <v>55.510409121006802</v>
      </c>
      <c r="J54" s="3">
        <v>0</v>
      </c>
      <c r="K54" s="3">
        <v>0</v>
      </c>
      <c r="L54" s="3">
        <v>0</v>
      </c>
      <c r="M54" s="3">
        <v>0</v>
      </c>
      <c r="N54" s="3">
        <v>2067.3855919007701</v>
      </c>
      <c r="O54" s="3">
        <v>293.54756896628101</v>
      </c>
      <c r="P54" s="3">
        <v>0</v>
      </c>
      <c r="Q54" s="3">
        <v>0</v>
      </c>
      <c r="R54" s="3">
        <v>0</v>
      </c>
      <c r="S54" s="3">
        <v>0</v>
      </c>
      <c r="T54" s="3">
        <v>0</v>
      </c>
      <c r="U54" s="3">
        <v>0</v>
      </c>
      <c r="V54" s="3">
        <v>3171.8645972506101</v>
      </c>
      <c r="X54" s="3">
        <f t="shared" si="3"/>
        <v>5588.3081672386679</v>
      </c>
    </row>
    <row r="55" spans="1:24" x14ac:dyDescent="0.2">
      <c r="A55">
        <v>6004</v>
      </c>
      <c r="B55">
        <v>21</v>
      </c>
      <c r="C55" s="3">
        <v>0</v>
      </c>
      <c r="D55" s="3">
        <v>0</v>
      </c>
      <c r="E55" s="3">
        <v>0</v>
      </c>
      <c r="F55" s="3">
        <v>0</v>
      </c>
      <c r="G55" s="3">
        <v>0</v>
      </c>
      <c r="H55" s="3">
        <v>0</v>
      </c>
      <c r="I55" s="3">
        <v>60.260973243066204</v>
      </c>
      <c r="J55" s="3">
        <v>0</v>
      </c>
      <c r="K55" s="3">
        <v>0</v>
      </c>
      <c r="L55" s="3">
        <v>0</v>
      </c>
      <c r="M55" s="3">
        <v>0</v>
      </c>
      <c r="N55" s="3">
        <v>2089.0906023522798</v>
      </c>
      <c r="O55" s="3">
        <v>299.82312423634602</v>
      </c>
      <c r="P55" s="3">
        <v>0</v>
      </c>
      <c r="Q55" s="3">
        <v>0</v>
      </c>
      <c r="R55" s="3">
        <v>0</v>
      </c>
      <c r="S55" s="3">
        <v>0</v>
      </c>
      <c r="T55" s="3">
        <v>0</v>
      </c>
      <c r="U55" s="3">
        <v>0</v>
      </c>
      <c r="V55" s="3">
        <v>1227.1112971289199</v>
      </c>
      <c r="X55" s="3">
        <f t="shared" si="3"/>
        <v>3676.2859969606116</v>
      </c>
    </row>
    <row r="56" spans="1:24" x14ac:dyDescent="0.2">
      <c r="A56">
        <v>6004</v>
      </c>
      <c r="B56">
        <v>22</v>
      </c>
      <c r="C56" s="3">
        <v>0</v>
      </c>
      <c r="D56" s="3">
        <v>0</v>
      </c>
      <c r="E56" s="3">
        <v>0</v>
      </c>
      <c r="F56" s="3">
        <v>0</v>
      </c>
      <c r="G56" s="3">
        <v>0</v>
      </c>
      <c r="H56" s="3">
        <v>0</v>
      </c>
      <c r="I56" s="3">
        <v>66.070045006364495</v>
      </c>
      <c r="J56" s="3">
        <v>0</v>
      </c>
      <c r="K56" s="3">
        <v>0</v>
      </c>
      <c r="L56" s="3">
        <v>0</v>
      </c>
      <c r="M56" s="3">
        <v>0</v>
      </c>
      <c r="N56" s="3">
        <v>2114.04298220484</v>
      </c>
      <c r="O56" s="3">
        <v>307.25565176953802</v>
      </c>
      <c r="P56" s="3">
        <v>0</v>
      </c>
      <c r="Q56" s="3">
        <v>0</v>
      </c>
      <c r="R56" s="3">
        <v>0</v>
      </c>
      <c r="S56" s="3">
        <v>0</v>
      </c>
      <c r="T56" s="3">
        <v>0</v>
      </c>
      <c r="U56" s="3">
        <v>0</v>
      </c>
      <c r="V56" s="3">
        <v>1258.9023061713101</v>
      </c>
      <c r="X56" s="3">
        <f t="shared" si="3"/>
        <v>3746.2709851520526</v>
      </c>
    </row>
    <row r="57" spans="1:24" x14ac:dyDescent="0.2">
      <c r="A57">
        <v>6004</v>
      </c>
      <c r="B57">
        <v>23</v>
      </c>
      <c r="C57" s="3">
        <v>0</v>
      </c>
      <c r="D57" s="3">
        <v>0</v>
      </c>
      <c r="E57" s="3">
        <v>0</v>
      </c>
      <c r="F57" s="3">
        <v>0</v>
      </c>
      <c r="G57" s="3">
        <v>0</v>
      </c>
      <c r="H57" s="3">
        <v>0</v>
      </c>
      <c r="I57" s="3">
        <v>62.805433158453198</v>
      </c>
      <c r="J57" s="3">
        <v>0</v>
      </c>
      <c r="K57" s="3">
        <v>0</v>
      </c>
      <c r="L57" s="3">
        <v>0</v>
      </c>
      <c r="M57" s="3">
        <v>0</v>
      </c>
      <c r="N57" s="3">
        <v>2140.4907844086902</v>
      </c>
      <c r="O57" s="3">
        <v>315.212087449889</v>
      </c>
      <c r="P57" s="3">
        <v>0</v>
      </c>
      <c r="Q57" s="3">
        <v>0</v>
      </c>
      <c r="R57" s="3">
        <v>0</v>
      </c>
      <c r="S57" s="3">
        <v>0</v>
      </c>
      <c r="T57" s="3">
        <v>0</v>
      </c>
      <c r="U57" s="3">
        <v>0</v>
      </c>
      <c r="V57" s="3">
        <v>1370.09515309069</v>
      </c>
      <c r="X57" s="3">
        <f t="shared" si="3"/>
        <v>3888.6034581077224</v>
      </c>
    </row>
    <row r="58" spans="1:24" x14ac:dyDescent="0.2">
      <c r="A58">
        <v>6004</v>
      </c>
      <c r="B58">
        <v>24</v>
      </c>
      <c r="C58" s="3">
        <v>0</v>
      </c>
      <c r="D58" s="3">
        <v>0</v>
      </c>
      <c r="E58" s="3">
        <v>0</v>
      </c>
      <c r="F58" s="3">
        <v>0</v>
      </c>
      <c r="G58" s="3">
        <v>0</v>
      </c>
      <c r="H58" s="3">
        <v>0</v>
      </c>
      <c r="I58" s="3">
        <v>66.508977788876095</v>
      </c>
      <c r="J58" s="3">
        <v>0</v>
      </c>
      <c r="K58" s="3">
        <v>0</v>
      </c>
      <c r="L58" s="3">
        <v>0</v>
      </c>
      <c r="M58" s="3">
        <v>0</v>
      </c>
      <c r="N58" s="3">
        <v>2185.5314686329598</v>
      </c>
      <c r="O58" s="3">
        <v>322.65735382455699</v>
      </c>
      <c r="P58" s="3">
        <v>0</v>
      </c>
      <c r="Q58" s="3">
        <v>0</v>
      </c>
      <c r="R58" s="3">
        <v>0</v>
      </c>
      <c r="S58" s="3">
        <v>0</v>
      </c>
      <c r="T58" s="3">
        <v>0</v>
      </c>
      <c r="U58" s="3">
        <v>0</v>
      </c>
      <c r="V58" s="3">
        <v>1364.82375115423</v>
      </c>
      <c r="X58" s="3">
        <f t="shared" si="3"/>
        <v>3939.5215514006231</v>
      </c>
    </row>
    <row r="59" spans="1:24" x14ac:dyDescent="0.2">
      <c r="A59">
        <v>6004</v>
      </c>
      <c r="B59">
        <v>25</v>
      </c>
      <c r="C59" s="3">
        <v>0</v>
      </c>
      <c r="D59" s="3">
        <v>0</v>
      </c>
      <c r="E59" s="3">
        <v>0</v>
      </c>
      <c r="F59" s="3">
        <v>0</v>
      </c>
      <c r="G59" s="3">
        <v>0</v>
      </c>
      <c r="H59" s="3">
        <v>0</v>
      </c>
      <c r="I59" s="3">
        <v>70.1837618307176</v>
      </c>
      <c r="J59" s="3">
        <v>0</v>
      </c>
      <c r="K59" s="3">
        <v>0</v>
      </c>
      <c r="L59" s="3">
        <v>0</v>
      </c>
      <c r="M59" s="3">
        <v>7844.8923091924098</v>
      </c>
      <c r="N59" s="3">
        <v>2227.8061648810599</v>
      </c>
      <c r="O59" s="3">
        <v>329.48181353919699</v>
      </c>
      <c r="P59" s="3">
        <v>0</v>
      </c>
      <c r="Q59" s="3">
        <v>0</v>
      </c>
      <c r="R59" s="3">
        <v>0</v>
      </c>
      <c r="S59" s="3">
        <v>0</v>
      </c>
      <c r="T59" s="3">
        <v>0</v>
      </c>
      <c r="U59" s="3">
        <v>0</v>
      </c>
      <c r="V59" s="3">
        <v>4295.8998236978896</v>
      </c>
      <c r="X59" s="3">
        <f t="shared" si="3"/>
        <v>14768.263873141275</v>
      </c>
    </row>
    <row r="60" spans="1:24" x14ac:dyDescent="0.2">
      <c r="A60">
        <v>6004</v>
      </c>
      <c r="B60">
        <v>26</v>
      </c>
      <c r="C60" s="3">
        <v>0</v>
      </c>
      <c r="D60" s="3">
        <v>0</v>
      </c>
      <c r="E60" s="3">
        <v>0</v>
      </c>
      <c r="F60" s="3">
        <v>0</v>
      </c>
      <c r="G60" s="3">
        <v>0</v>
      </c>
      <c r="H60" s="3">
        <v>0</v>
      </c>
      <c r="I60" s="3">
        <v>73.539144872748395</v>
      </c>
      <c r="J60" s="3">
        <v>0</v>
      </c>
      <c r="K60" s="3">
        <v>0</v>
      </c>
      <c r="L60" s="3">
        <v>0</v>
      </c>
      <c r="M60" s="3">
        <v>0</v>
      </c>
      <c r="N60" s="3">
        <v>3390.6055292063502</v>
      </c>
      <c r="O60" s="3">
        <v>332.67435646669099</v>
      </c>
      <c r="P60" s="3">
        <v>0</v>
      </c>
      <c r="Q60" s="3">
        <v>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X60" s="3">
        <f t="shared" si="3"/>
        <v>3796.8190305457892</v>
      </c>
    </row>
    <row r="61" spans="1:24" x14ac:dyDescent="0.2">
      <c r="A61">
        <v>6004</v>
      </c>
      <c r="B61">
        <v>27</v>
      </c>
      <c r="C61" s="3">
        <v>0</v>
      </c>
      <c r="D61" s="3">
        <v>0</v>
      </c>
      <c r="E61" s="3">
        <v>0</v>
      </c>
      <c r="F61" s="3">
        <v>0</v>
      </c>
      <c r="G61" s="3">
        <v>0</v>
      </c>
      <c r="H61" s="3">
        <v>0</v>
      </c>
      <c r="I61" s="3">
        <v>76.242417740004697</v>
      </c>
      <c r="J61" s="3">
        <v>0</v>
      </c>
      <c r="K61" s="3">
        <v>0</v>
      </c>
      <c r="L61" s="3">
        <v>0</v>
      </c>
      <c r="M61" s="3">
        <v>0</v>
      </c>
      <c r="N61" s="3">
        <v>1139.9795534034799</v>
      </c>
      <c r="O61" s="3">
        <v>335.39508247487203</v>
      </c>
      <c r="P61" s="3">
        <v>0</v>
      </c>
      <c r="Q61" s="3">
        <v>0</v>
      </c>
      <c r="R61" s="3">
        <v>0</v>
      </c>
      <c r="S61" s="3">
        <v>0</v>
      </c>
      <c r="T61" s="3">
        <v>203.299960017129</v>
      </c>
      <c r="U61" s="3">
        <v>0</v>
      </c>
      <c r="V61" s="3">
        <v>883.34055436757103</v>
      </c>
      <c r="X61" s="3">
        <f t="shared" si="3"/>
        <v>2638.2575680030568</v>
      </c>
    </row>
    <row r="62" spans="1:24" x14ac:dyDescent="0.2">
      <c r="A62">
        <v>6004</v>
      </c>
      <c r="B62">
        <v>28</v>
      </c>
      <c r="C62" s="3">
        <v>0</v>
      </c>
      <c r="D62" s="3">
        <v>0</v>
      </c>
      <c r="E62" s="3">
        <v>0</v>
      </c>
      <c r="F62" s="3">
        <v>0</v>
      </c>
      <c r="G62" s="3">
        <v>0</v>
      </c>
      <c r="H62" s="3">
        <v>0</v>
      </c>
      <c r="I62" s="3">
        <v>79.648712455883896</v>
      </c>
      <c r="J62" s="3">
        <v>0</v>
      </c>
      <c r="K62" s="3">
        <v>0</v>
      </c>
      <c r="L62" s="3">
        <v>0</v>
      </c>
      <c r="M62" s="3">
        <v>0</v>
      </c>
      <c r="N62" s="3">
        <v>2279.1212180594798</v>
      </c>
      <c r="O62" s="3">
        <v>336.41294315644302</v>
      </c>
      <c r="P62" s="3">
        <v>0</v>
      </c>
      <c r="Q62" s="3">
        <v>0</v>
      </c>
      <c r="R62" s="3">
        <v>0</v>
      </c>
      <c r="S62" s="3">
        <v>0</v>
      </c>
      <c r="T62" s="3">
        <v>664.29528446715699</v>
      </c>
      <c r="U62" s="3">
        <v>77.867867261255199</v>
      </c>
      <c r="V62" s="3">
        <v>0</v>
      </c>
      <c r="X62" s="3">
        <f t="shared" si="3"/>
        <v>3437.3460254002184</v>
      </c>
    </row>
    <row r="63" spans="1:24" x14ac:dyDescent="0.2">
      <c r="A63">
        <v>6004</v>
      </c>
      <c r="B63">
        <v>29</v>
      </c>
      <c r="C63" s="3">
        <v>0</v>
      </c>
      <c r="D63" s="3">
        <v>0</v>
      </c>
      <c r="E63" s="3">
        <v>0</v>
      </c>
      <c r="F63" s="3">
        <v>0</v>
      </c>
      <c r="G63" s="3">
        <v>0</v>
      </c>
      <c r="H63" s="3">
        <v>0</v>
      </c>
      <c r="I63" s="3">
        <v>82.990140711663798</v>
      </c>
      <c r="J63" s="3">
        <v>0</v>
      </c>
      <c r="K63" s="3">
        <v>3938.9188540575501</v>
      </c>
      <c r="L63" s="3">
        <v>0</v>
      </c>
      <c r="M63" s="3">
        <v>0</v>
      </c>
      <c r="N63" s="3">
        <v>2285.76982937086</v>
      </c>
      <c r="O63" s="3">
        <v>337.17514342242498</v>
      </c>
      <c r="P63" s="3">
        <v>0</v>
      </c>
      <c r="Q63" s="3">
        <v>0</v>
      </c>
      <c r="R63" s="3">
        <v>0</v>
      </c>
      <c r="S63" s="3">
        <v>0</v>
      </c>
      <c r="T63" s="3">
        <v>948.27182250672104</v>
      </c>
      <c r="U63" s="3">
        <v>391.45758375650098</v>
      </c>
      <c r="V63" s="3">
        <v>1802.0749930532199</v>
      </c>
      <c r="X63" s="3">
        <f t="shared" si="3"/>
        <v>9786.6583668789408</v>
      </c>
    </row>
    <row r="64" spans="1:24" x14ac:dyDescent="0.2">
      <c r="A64">
        <v>6004</v>
      </c>
      <c r="B64">
        <v>30</v>
      </c>
      <c r="C64" s="3">
        <v>0</v>
      </c>
      <c r="D64" s="3">
        <v>0</v>
      </c>
      <c r="E64" s="3">
        <v>0</v>
      </c>
      <c r="F64" s="3">
        <v>0</v>
      </c>
      <c r="G64" s="3">
        <v>0</v>
      </c>
      <c r="H64" s="3">
        <v>0</v>
      </c>
      <c r="I64" s="3">
        <v>86.388646586693895</v>
      </c>
      <c r="J64" s="3">
        <v>0</v>
      </c>
      <c r="K64" s="3">
        <v>0</v>
      </c>
      <c r="L64" s="3">
        <v>0</v>
      </c>
      <c r="M64" s="3">
        <v>0</v>
      </c>
      <c r="N64" s="3">
        <v>2291.8896362147998</v>
      </c>
      <c r="O64" s="3">
        <v>338.10603473892502</v>
      </c>
      <c r="P64" s="3">
        <v>0</v>
      </c>
      <c r="Q64" s="3">
        <v>1437.4146986477799</v>
      </c>
      <c r="R64" s="3">
        <v>0</v>
      </c>
      <c r="S64" s="3">
        <v>0</v>
      </c>
      <c r="T64" s="3">
        <v>1822.21482538283</v>
      </c>
      <c r="U64" s="3">
        <v>300.92279834714901</v>
      </c>
      <c r="V64" s="3">
        <v>2368.8374682301801</v>
      </c>
      <c r="X64" s="3">
        <f t="shared" si="3"/>
        <v>8645.7741081483582</v>
      </c>
    </row>
    <row r="65" spans="1:24" x14ac:dyDescent="0.2">
      <c r="A65">
        <v>6004</v>
      </c>
      <c r="B65">
        <v>31</v>
      </c>
      <c r="C65" s="3">
        <v>0</v>
      </c>
      <c r="D65" s="3">
        <v>0</v>
      </c>
      <c r="E65" s="3">
        <v>0</v>
      </c>
      <c r="F65" s="3">
        <v>0</v>
      </c>
      <c r="G65" s="3">
        <v>0</v>
      </c>
      <c r="H65" s="3">
        <v>0</v>
      </c>
      <c r="I65" s="3">
        <v>104.693948654092</v>
      </c>
      <c r="J65" s="3">
        <v>0</v>
      </c>
      <c r="K65" s="3">
        <v>0</v>
      </c>
      <c r="L65" s="3">
        <v>0</v>
      </c>
      <c r="M65" s="3">
        <v>0</v>
      </c>
      <c r="N65" s="3">
        <v>2286.0465069101001</v>
      </c>
      <c r="O65" s="3">
        <v>336.56677354457599</v>
      </c>
      <c r="P65" s="3">
        <v>0</v>
      </c>
      <c r="Q65" s="3">
        <v>0</v>
      </c>
      <c r="R65" s="3">
        <v>0</v>
      </c>
      <c r="S65" s="3">
        <v>0</v>
      </c>
      <c r="T65" s="3">
        <v>672.10058106665599</v>
      </c>
      <c r="U65" s="3">
        <v>427.723366792131</v>
      </c>
      <c r="V65" s="3">
        <v>1742.8794108481</v>
      </c>
      <c r="X65" s="3">
        <f t="shared" si="3"/>
        <v>5570.0105878156546</v>
      </c>
    </row>
    <row r="66" spans="1:24" x14ac:dyDescent="0.2">
      <c r="A66">
        <v>6004</v>
      </c>
      <c r="B66">
        <v>32</v>
      </c>
      <c r="C66" s="3">
        <v>0</v>
      </c>
      <c r="D66" s="3">
        <v>0</v>
      </c>
      <c r="E66" s="3">
        <v>0</v>
      </c>
      <c r="F66" s="3">
        <v>0</v>
      </c>
      <c r="G66" s="3">
        <v>0</v>
      </c>
      <c r="H66" s="3">
        <v>0</v>
      </c>
      <c r="I66" s="3">
        <v>109.743184977073</v>
      </c>
      <c r="J66" s="3">
        <v>0</v>
      </c>
      <c r="K66" s="3">
        <v>0</v>
      </c>
      <c r="L66" s="3">
        <v>0</v>
      </c>
      <c r="M66" s="3">
        <v>0</v>
      </c>
      <c r="N66" s="3">
        <v>2275.4112593054201</v>
      </c>
      <c r="O66" s="3">
        <v>334.38107320656201</v>
      </c>
      <c r="P66" s="3">
        <v>0</v>
      </c>
      <c r="Q66" s="3">
        <v>0</v>
      </c>
      <c r="R66" s="3">
        <v>0</v>
      </c>
      <c r="S66" s="3">
        <v>0</v>
      </c>
      <c r="T66" s="3">
        <v>1408.88231036353</v>
      </c>
      <c r="U66" s="3">
        <v>9.1106445049203195</v>
      </c>
      <c r="V66" s="3">
        <v>786.19750747130797</v>
      </c>
      <c r="X66" s="3">
        <f t="shared" si="3"/>
        <v>4923.7259798288133</v>
      </c>
    </row>
    <row r="67" spans="1:24" x14ac:dyDescent="0.2">
      <c r="A67">
        <v>6004</v>
      </c>
      <c r="B67">
        <v>33</v>
      </c>
      <c r="C67" s="3">
        <v>0</v>
      </c>
      <c r="D67" s="3">
        <v>0</v>
      </c>
      <c r="E67" s="3">
        <v>0</v>
      </c>
      <c r="F67" s="3">
        <v>0</v>
      </c>
      <c r="G67" s="3">
        <v>0</v>
      </c>
      <c r="H67" s="3">
        <v>0</v>
      </c>
      <c r="I67" s="3">
        <v>117.206066831857</v>
      </c>
      <c r="J67" s="3">
        <v>0</v>
      </c>
      <c r="K67" s="3">
        <v>0</v>
      </c>
      <c r="L67" s="3">
        <v>0</v>
      </c>
      <c r="M67" s="3">
        <v>0</v>
      </c>
      <c r="N67" s="3">
        <v>2263.1895441124302</v>
      </c>
      <c r="O67" s="3">
        <v>332.15376463320598</v>
      </c>
      <c r="P67" s="3">
        <v>0</v>
      </c>
      <c r="Q67" s="3">
        <v>0</v>
      </c>
      <c r="R67" s="3">
        <v>0</v>
      </c>
      <c r="S67" s="3">
        <v>0</v>
      </c>
      <c r="T67" s="3">
        <v>583.62359849521704</v>
      </c>
      <c r="U67" s="3">
        <v>1.3304861436547699</v>
      </c>
      <c r="V67" s="3">
        <v>2507.5552744343599</v>
      </c>
      <c r="X67" s="3">
        <f t="shared" si="3"/>
        <v>5805.0587346507245</v>
      </c>
    </row>
    <row r="68" spans="1:24" x14ac:dyDescent="0.2">
      <c r="A68">
        <v>6004</v>
      </c>
      <c r="B68">
        <v>34</v>
      </c>
      <c r="C68" s="3">
        <v>0</v>
      </c>
      <c r="D68" s="3">
        <v>0</v>
      </c>
      <c r="E68" s="3">
        <v>0</v>
      </c>
      <c r="F68" s="3">
        <v>0</v>
      </c>
      <c r="G68" s="3">
        <v>0</v>
      </c>
      <c r="H68" s="3">
        <v>0</v>
      </c>
      <c r="I68" s="3">
        <v>128.43693590784301</v>
      </c>
      <c r="J68" s="3">
        <v>0</v>
      </c>
      <c r="K68" s="3">
        <v>0</v>
      </c>
      <c r="L68" s="3">
        <v>0</v>
      </c>
      <c r="M68" s="3">
        <v>0</v>
      </c>
      <c r="N68" s="3">
        <v>2251.2563022450499</v>
      </c>
      <c r="O68" s="3">
        <v>330.209898649867</v>
      </c>
      <c r="P68" s="3">
        <v>0</v>
      </c>
      <c r="Q68" s="3">
        <v>0</v>
      </c>
      <c r="R68" s="3">
        <v>0</v>
      </c>
      <c r="S68" s="3">
        <v>0</v>
      </c>
      <c r="T68" s="3">
        <v>872.45713551089204</v>
      </c>
      <c r="U68" s="3">
        <v>0</v>
      </c>
      <c r="V68" s="3">
        <v>1280.95996369008</v>
      </c>
      <c r="X68" s="3">
        <f t="shared" si="3"/>
        <v>4863.3202360037321</v>
      </c>
    </row>
    <row r="69" spans="1:24" x14ac:dyDescent="0.2">
      <c r="A69">
        <v>6004</v>
      </c>
      <c r="B69">
        <v>35</v>
      </c>
      <c r="C69" s="3">
        <v>0</v>
      </c>
      <c r="D69" s="3">
        <v>0</v>
      </c>
      <c r="E69" s="3">
        <v>0</v>
      </c>
      <c r="F69" s="3">
        <v>0</v>
      </c>
      <c r="G69" s="3">
        <v>0</v>
      </c>
      <c r="H69" s="3">
        <v>0</v>
      </c>
      <c r="I69" s="3">
        <v>135.44617429215</v>
      </c>
      <c r="J69" s="3">
        <v>0</v>
      </c>
      <c r="K69" s="3">
        <v>0</v>
      </c>
      <c r="L69" s="3">
        <v>0</v>
      </c>
      <c r="M69" s="3">
        <v>0</v>
      </c>
      <c r="N69" s="3">
        <v>2282.9234005028102</v>
      </c>
      <c r="O69" s="3">
        <v>328.16451520174502</v>
      </c>
      <c r="P69" s="3">
        <v>0</v>
      </c>
      <c r="Q69" s="3">
        <v>0</v>
      </c>
      <c r="R69" s="3">
        <v>0</v>
      </c>
      <c r="S69" s="3">
        <v>0</v>
      </c>
      <c r="T69" s="3">
        <v>541.01307809937703</v>
      </c>
      <c r="U69" s="3">
        <v>0</v>
      </c>
      <c r="V69" s="3">
        <v>1485.47050622901</v>
      </c>
      <c r="X69" s="3">
        <f t="shared" si="3"/>
        <v>4773.0176743250922</v>
      </c>
    </row>
    <row r="70" spans="1:24" x14ac:dyDescent="0.2">
      <c r="A70">
        <v>6004</v>
      </c>
      <c r="B70">
        <v>36</v>
      </c>
      <c r="C70" s="3">
        <v>0</v>
      </c>
      <c r="D70" s="3">
        <v>0</v>
      </c>
      <c r="E70" s="3">
        <v>0</v>
      </c>
      <c r="F70" s="3">
        <v>0</v>
      </c>
      <c r="G70" s="3">
        <v>0</v>
      </c>
      <c r="H70" s="3">
        <v>0</v>
      </c>
      <c r="I70" s="3">
        <v>139.339839590385</v>
      </c>
      <c r="J70" s="3">
        <v>0</v>
      </c>
      <c r="K70" s="3">
        <v>0</v>
      </c>
      <c r="L70" s="3">
        <v>0</v>
      </c>
      <c r="M70" s="3">
        <v>0</v>
      </c>
      <c r="N70" s="3">
        <v>3831.8833870562798</v>
      </c>
      <c r="O70" s="3">
        <v>338.349006851843</v>
      </c>
      <c r="P70" s="3">
        <v>0</v>
      </c>
      <c r="Q70" s="3">
        <v>0</v>
      </c>
      <c r="R70" s="3">
        <v>0</v>
      </c>
      <c r="S70" s="3">
        <v>0</v>
      </c>
      <c r="T70" s="3">
        <v>567.59874987593298</v>
      </c>
      <c r="U70" s="3">
        <v>0</v>
      </c>
      <c r="V70" s="3">
        <v>1185.0883504210401</v>
      </c>
      <c r="X70" s="3">
        <f t="shared" si="3"/>
        <v>6062.2593337954804</v>
      </c>
    </row>
    <row r="71" spans="1:24" x14ac:dyDescent="0.2">
      <c r="A71">
        <v>6004</v>
      </c>
      <c r="B71">
        <v>37</v>
      </c>
      <c r="C71" s="3">
        <v>0</v>
      </c>
      <c r="D71" s="3">
        <v>0</v>
      </c>
      <c r="E71" s="3">
        <v>0</v>
      </c>
      <c r="F71" s="3">
        <v>0</v>
      </c>
      <c r="G71" s="3">
        <v>0</v>
      </c>
      <c r="H71" s="3">
        <v>0</v>
      </c>
      <c r="I71" s="3">
        <v>146.27104696905801</v>
      </c>
      <c r="J71" s="3">
        <v>0</v>
      </c>
      <c r="K71" s="3">
        <v>0</v>
      </c>
      <c r="L71" s="3">
        <v>0</v>
      </c>
      <c r="M71" s="3">
        <v>0</v>
      </c>
      <c r="N71" s="3">
        <v>3911.3531656699502</v>
      </c>
      <c r="O71" s="3">
        <v>331.97181880634702</v>
      </c>
      <c r="P71" s="3">
        <v>0</v>
      </c>
      <c r="Q71" s="3">
        <v>0</v>
      </c>
      <c r="R71" s="3">
        <v>0</v>
      </c>
      <c r="S71" s="3">
        <v>0</v>
      </c>
      <c r="T71" s="3">
        <v>2227.3297721641302</v>
      </c>
      <c r="U71" s="3">
        <v>0</v>
      </c>
      <c r="V71" s="3">
        <v>2583.4056078715498</v>
      </c>
      <c r="X71" s="3">
        <f t="shared" si="3"/>
        <v>9200.3314114810346</v>
      </c>
    </row>
    <row r="72" spans="1:24" x14ac:dyDescent="0.2">
      <c r="A72">
        <v>6004</v>
      </c>
      <c r="B72">
        <v>38</v>
      </c>
      <c r="C72" s="3">
        <v>0</v>
      </c>
      <c r="D72" s="3">
        <v>0</v>
      </c>
      <c r="E72" s="3">
        <v>0</v>
      </c>
      <c r="F72" s="3">
        <v>0</v>
      </c>
      <c r="G72" s="3">
        <v>0</v>
      </c>
      <c r="H72" s="3">
        <v>0</v>
      </c>
      <c r="I72" s="3">
        <v>153.22197781660799</v>
      </c>
      <c r="J72" s="3">
        <v>0</v>
      </c>
      <c r="K72" s="3">
        <v>0</v>
      </c>
      <c r="L72" s="3">
        <v>0</v>
      </c>
      <c r="M72" s="3">
        <v>0</v>
      </c>
      <c r="N72" s="3">
        <v>11115.256754911499</v>
      </c>
      <c r="O72" s="3">
        <v>324.951288963487</v>
      </c>
      <c r="P72" s="3">
        <v>0</v>
      </c>
      <c r="Q72" s="3">
        <v>0</v>
      </c>
      <c r="R72" s="3">
        <v>0</v>
      </c>
      <c r="S72" s="3">
        <v>0</v>
      </c>
      <c r="T72" s="3">
        <v>618.32327002182001</v>
      </c>
      <c r="U72" s="3">
        <v>0</v>
      </c>
      <c r="V72" s="3">
        <v>4972.1388978527802</v>
      </c>
      <c r="X72" s="3">
        <f t="shared" si="3"/>
        <v>17183.892189566192</v>
      </c>
    </row>
    <row r="73" spans="1:24" x14ac:dyDescent="0.2">
      <c r="A73">
        <v>6004</v>
      </c>
      <c r="B73">
        <v>39</v>
      </c>
      <c r="C73" s="3">
        <v>0</v>
      </c>
      <c r="D73" s="3">
        <v>0</v>
      </c>
      <c r="E73" s="3">
        <v>0</v>
      </c>
      <c r="F73" s="3">
        <v>0</v>
      </c>
      <c r="G73" s="3">
        <v>0</v>
      </c>
      <c r="H73" s="3">
        <v>0</v>
      </c>
      <c r="I73" s="3">
        <v>160.33129224112</v>
      </c>
      <c r="J73" s="3">
        <v>0</v>
      </c>
      <c r="K73" s="3">
        <v>0</v>
      </c>
      <c r="L73" s="3">
        <v>0</v>
      </c>
      <c r="M73" s="3">
        <v>0</v>
      </c>
      <c r="N73" s="3">
        <v>867.95616887450603</v>
      </c>
      <c r="O73" s="3">
        <v>310.25530036293702</v>
      </c>
      <c r="P73" s="3">
        <v>0</v>
      </c>
      <c r="Q73" s="3">
        <v>0</v>
      </c>
      <c r="R73" s="3">
        <v>0</v>
      </c>
      <c r="S73" s="3">
        <v>0</v>
      </c>
      <c r="T73" s="3">
        <v>1245.4314954741201</v>
      </c>
      <c r="U73" s="3">
        <v>0</v>
      </c>
      <c r="V73" s="3">
        <v>0</v>
      </c>
      <c r="X73" s="3">
        <f t="shared" si="3"/>
        <v>2583.9742569526834</v>
      </c>
    </row>
    <row r="74" spans="1:24" x14ac:dyDescent="0.2">
      <c r="A74">
        <v>6004</v>
      </c>
      <c r="B74">
        <v>40</v>
      </c>
      <c r="C74" s="3">
        <v>0</v>
      </c>
      <c r="D74" s="3">
        <v>0</v>
      </c>
      <c r="E74" s="3">
        <v>0</v>
      </c>
      <c r="F74" s="3">
        <v>0</v>
      </c>
      <c r="G74" s="3">
        <v>0</v>
      </c>
      <c r="H74" s="3">
        <v>0</v>
      </c>
      <c r="I74" s="3">
        <v>167.405482841387</v>
      </c>
      <c r="J74" s="3">
        <v>0</v>
      </c>
      <c r="K74" s="3">
        <v>0</v>
      </c>
      <c r="L74" s="3">
        <v>0</v>
      </c>
      <c r="M74" s="3">
        <v>0</v>
      </c>
      <c r="N74" s="3">
        <v>6672.1896521672998</v>
      </c>
      <c r="O74" s="3">
        <v>296.68132942721502</v>
      </c>
      <c r="P74" s="3">
        <v>0</v>
      </c>
      <c r="Q74" s="3">
        <v>5716.5253550141597</v>
      </c>
      <c r="R74" s="3">
        <v>0</v>
      </c>
      <c r="S74" s="3">
        <v>0</v>
      </c>
      <c r="T74" s="3">
        <v>797.80953857000202</v>
      </c>
      <c r="U74" s="3">
        <v>0</v>
      </c>
      <c r="V74" s="3">
        <v>0</v>
      </c>
      <c r="X74" s="3">
        <f t="shared" si="3"/>
        <v>13650.611358020064</v>
      </c>
    </row>
    <row r="75" spans="1:24" x14ac:dyDescent="0.2">
      <c r="A75">
        <v>6004</v>
      </c>
      <c r="B75">
        <v>41</v>
      </c>
      <c r="C75" s="3">
        <v>0</v>
      </c>
      <c r="D75" s="3">
        <v>0</v>
      </c>
      <c r="E75" s="3">
        <v>0</v>
      </c>
      <c r="F75" s="3">
        <v>0</v>
      </c>
      <c r="G75" s="3">
        <v>0</v>
      </c>
      <c r="H75" s="3">
        <v>0</v>
      </c>
      <c r="I75" s="3">
        <v>321.20765768970699</v>
      </c>
      <c r="J75" s="3">
        <v>0</v>
      </c>
      <c r="K75" s="3">
        <v>0</v>
      </c>
      <c r="L75" s="3">
        <v>0</v>
      </c>
      <c r="M75" s="3">
        <v>0</v>
      </c>
      <c r="N75" s="3">
        <v>2170.2611553050201</v>
      </c>
      <c r="O75" s="3">
        <v>1181.4872803390199</v>
      </c>
      <c r="P75" s="3">
        <v>0</v>
      </c>
      <c r="Q75" s="3">
        <v>0</v>
      </c>
      <c r="R75" s="3">
        <v>0</v>
      </c>
      <c r="S75" s="3">
        <v>0</v>
      </c>
      <c r="T75" s="3">
        <v>524.21170394614501</v>
      </c>
      <c r="U75" s="3">
        <v>0</v>
      </c>
      <c r="V75" s="3">
        <v>0</v>
      </c>
      <c r="X75" s="3">
        <f t="shared" si="3"/>
        <v>4197.1677972798916</v>
      </c>
    </row>
    <row r="76" spans="1:24" x14ac:dyDescent="0.2">
      <c r="A76">
        <v>6004</v>
      </c>
      <c r="B76">
        <v>42</v>
      </c>
      <c r="C76" s="3">
        <v>0</v>
      </c>
      <c r="D76" s="3">
        <v>0</v>
      </c>
      <c r="E76" s="3">
        <v>0</v>
      </c>
      <c r="F76" s="3">
        <v>0</v>
      </c>
      <c r="G76" s="3">
        <v>0</v>
      </c>
      <c r="H76" s="3">
        <v>0</v>
      </c>
      <c r="I76" s="3">
        <v>190.49386746050101</v>
      </c>
      <c r="J76" s="3">
        <v>0</v>
      </c>
      <c r="K76" s="3">
        <v>0</v>
      </c>
      <c r="L76" s="3">
        <v>0</v>
      </c>
      <c r="M76" s="3">
        <v>0</v>
      </c>
      <c r="N76" s="3">
        <v>2473.62491960122</v>
      </c>
      <c r="O76" s="3">
        <v>1234.9422856845199</v>
      </c>
      <c r="P76" s="3">
        <v>0</v>
      </c>
      <c r="Q76" s="3">
        <v>0</v>
      </c>
      <c r="R76" s="3">
        <v>0</v>
      </c>
      <c r="S76" s="3">
        <v>0</v>
      </c>
      <c r="T76" s="3">
        <v>962.28090991774297</v>
      </c>
      <c r="U76" s="3">
        <v>0</v>
      </c>
      <c r="V76" s="3">
        <v>0</v>
      </c>
      <c r="X76" s="3">
        <f t="shared" si="3"/>
        <v>4861.3419826639838</v>
      </c>
    </row>
    <row r="77" spans="1:24" x14ac:dyDescent="0.2">
      <c r="A77">
        <v>6004</v>
      </c>
      <c r="B77">
        <v>43</v>
      </c>
      <c r="C77" s="3">
        <v>0</v>
      </c>
      <c r="D77" s="3">
        <v>0</v>
      </c>
      <c r="E77" s="3">
        <v>0</v>
      </c>
      <c r="F77" s="3">
        <v>0</v>
      </c>
      <c r="G77" s="3">
        <v>0</v>
      </c>
      <c r="H77" s="3">
        <v>0</v>
      </c>
      <c r="I77" s="3">
        <v>292.77222737970999</v>
      </c>
      <c r="J77" s="3">
        <v>0</v>
      </c>
      <c r="K77" s="3">
        <v>0</v>
      </c>
      <c r="L77" s="3">
        <v>0</v>
      </c>
      <c r="M77" s="3">
        <v>0</v>
      </c>
      <c r="N77" s="3">
        <v>2183.9834687862799</v>
      </c>
      <c r="O77" s="3">
        <v>2929.49384697195</v>
      </c>
      <c r="P77" s="3">
        <v>0</v>
      </c>
      <c r="Q77" s="3">
        <v>0</v>
      </c>
      <c r="R77" s="3">
        <v>0</v>
      </c>
      <c r="S77" s="3">
        <v>0</v>
      </c>
      <c r="T77" s="3">
        <v>1015.60175767772</v>
      </c>
      <c r="U77" s="3">
        <v>0</v>
      </c>
      <c r="V77" s="3">
        <v>0</v>
      </c>
      <c r="X77" s="3">
        <f t="shared" si="3"/>
        <v>6421.8513008156597</v>
      </c>
    </row>
    <row r="78" spans="1:24" x14ac:dyDescent="0.2">
      <c r="A78">
        <v>6004</v>
      </c>
      <c r="B78">
        <v>44</v>
      </c>
      <c r="C78" s="3">
        <v>0</v>
      </c>
      <c r="D78" s="3">
        <v>0</v>
      </c>
      <c r="E78" s="3">
        <v>0</v>
      </c>
      <c r="F78" s="3">
        <v>0</v>
      </c>
      <c r="G78" s="3">
        <v>0</v>
      </c>
      <c r="H78" s="3">
        <v>0</v>
      </c>
      <c r="I78" s="3">
        <v>0</v>
      </c>
      <c r="J78" s="3">
        <v>0</v>
      </c>
      <c r="K78" s="3">
        <v>0</v>
      </c>
      <c r="L78" s="3">
        <v>0</v>
      </c>
      <c r="M78" s="3">
        <v>0</v>
      </c>
      <c r="N78" s="3">
        <v>2026.9359228523399</v>
      </c>
      <c r="O78" s="3">
        <v>0</v>
      </c>
      <c r="P78" s="3">
        <v>0</v>
      </c>
      <c r="Q78" s="3">
        <v>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X78" s="3">
        <f t="shared" si="3"/>
        <v>2026.9359228523399</v>
      </c>
    </row>
    <row r="79" spans="1:24" ht="17" thickBot="1" x14ac:dyDescent="0.25">
      <c r="A79">
        <v>6004</v>
      </c>
      <c r="B79">
        <v>45</v>
      </c>
      <c r="C79" s="5">
        <v>0</v>
      </c>
      <c r="D79" s="5">
        <v>0</v>
      </c>
      <c r="E79" s="5">
        <v>0</v>
      </c>
      <c r="F79" s="5">
        <v>0</v>
      </c>
      <c r="G79" s="5">
        <v>0</v>
      </c>
      <c r="H79" s="5">
        <v>0</v>
      </c>
      <c r="I79" s="5">
        <v>117.457493164957</v>
      </c>
      <c r="J79" s="5">
        <v>0</v>
      </c>
      <c r="K79" s="5">
        <v>0</v>
      </c>
      <c r="L79" s="5">
        <v>0</v>
      </c>
      <c r="M79" s="5">
        <v>0</v>
      </c>
      <c r="N79" s="5">
        <v>28002.772958729402</v>
      </c>
      <c r="O79" s="5">
        <v>3467.87631836128</v>
      </c>
      <c r="P79" s="5">
        <v>0</v>
      </c>
      <c r="Q79" s="5">
        <v>0</v>
      </c>
      <c r="R79" s="5">
        <v>0</v>
      </c>
      <c r="S79" s="5">
        <v>0</v>
      </c>
      <c r="T79" s="5">
        <v>9726.9026725430103</v>
      </c>
      <c r="U79" s="5">
        <v>0</v>
      </c>
      <c r="V79" s="5">
        <v>0</v>
      </c>
      <c r="X79" s="3">
        <f>+SUM(C79:V79)</f>
        <v>41315.009442798648</v>
      </c>
    </row>
    <row r="80" spans="1:24" ht="17" thickTop="1" x14ac:dyDescent="0.2">
      <c r="C80" s="3">
        <f t="shared" ref="C80" si="4">+SUM(C42:C79)</f>
        <v>0</v>
      </c>
      <c r="D80" s="3">
        <f t="shared" ref="D80" si="5">+SUM(D42:D79)</f>
        <v>0</v>
      </c>
      <c r="E80" s="3">
        <f t="shared" ref="E80" si="6">+SUM(E42:E79)</f>
        <v>0</v>
      </c>
      <c r="F80" s="3">
        <f t="shared" ref="F80" si="7">+SUM(F42:F79)</f>
        <v>0</v>
      </c>
      <c r="G80" s="3">
        <f t="shared" ref="G80" si="8">+SUM(G42:G79)</f>
        <v>0</v>
      </c>
      <c r="H80" s="3">
        <f t="shared" ref="H80" si="9">+SUM(H42:H79)</f>
        <v>0</v>
      </c>
      <c r="I80" s="3">
        <f t="shared" ref="I80" si="10">+SUM(I42:I79)</f>
        <v>3359.2980661567922</v>
      </c>
      <c r="J80" s="3">
        <f t="shared" ref="J80" si="11">+SUM(J42:J79)</f>
        <v>0</v>
      </c>
      <c r="K80" s="3">
        <f t="shared" ref="K80" si="12">+SUM(K42:K79)</f>
        <v>3938.9188540575501</v>
      </c>
      <c r="L80" s="3">
        <f t="shared" ref="L80" si="13">+SUM(L42:L79)</f>
        <v>0</v>
      </c>
      <c r="M80" s="3">
        <f>+SUM(M42:M79)</f>
        <v>13128.464695060617</v>
      </c>
      <c r="N80" s="3">
        <f t="shared" ref="N80" si="14">+SUM(N42:N79)</f>
        <v>116324.07060406904</v>
      </c>
      <c r="O80" s="3">
        <f t="shared" ref="O80" si="15">+SUM(O42:O79)</f>
        <v>19964.570299951385</v>
      </c>
      <c r="P80" s="3">
        <f t="shared" ref="P80" si="16">+SUM(P42:P79)</f>
        <v>0</v>
      </c>
      <c r="Q80" s="3">
        <f t="shared" ref="Q80" si="17">+SUM(Q42:Q79)</f>
        <v>12870.4654086761</v>
      </c>
      <c r="R80" s="3">
        <f t="shared" ref="R80" si="18">+SUM(R42:R79)</f>
        <v>0</v>
      </c>
      <c r="S80" s="3">
        <f t="shared" ref="S80" si="19">+SUM(S42:S79)</f>
        <v>0</v>
      </c>
      <c r="T80" s="3">
        <f t="shared" ref="T80" si="20">+SUM(T42:T79)</f>
        <v>36930.104489498357</v>
      </c>
      <c r="U80" s="3">
        <f t="shared" ref="U80" si="21">+SUM(U42:U79)</f>
        <v>1329.7905082049699</v>
      </c>
      <c r="V80" s="3">
        <f t="shared" ref="V80" si="22">+SUM(V42:V79)</f>
        <v>40799.96035124152</v>
      </c>
      <c r="X80" s="3">
        <f>+SUM(C80:V80)</f>
        <v>248645.64327691635</v>
      </c>
    </row>
    <row r="81" spans="1:24" x14ac:dyDescent="0.2"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X81" s="3"/>
    </row>
    <row r="83" spans="1:24" x14ac:dyDescent="0.2">
      <c r="A83">
        <v>6004</v>
      </c>
      <c r="B83">
        <v>8</v>
      </c>
      <c r="C83" s="3">
        <f>+(C42-C2)</f>
        <v>0</v>
      </c>
      <c r="D83" s="3">
        <f t="shared" ref="D83:V83" si="23">+(D42-D2)</f>
        <v>0</v>
      </c>
      <c r="E83" s="3">
        <f t="shared" si="23"/>
        <v>0</v>
      </c>
      <c r="F83" s="3">
        <f t="shared" si="23"/>
        <v>0</v>
      </c>
      <c r="G83" s="3">
        <f t="shared" si="23"/>
        <v>0</v>
      </c>
      <c r="H83" s="3">
        <f t="shared" si="23"/>
        <v>0</v>
      </c>
      <c r="I83" s="3">
        <f t="shared" si="23"/>
        <v>3.5615053575628906E-2</v>
      </c>
      <c r="J83" s="3">
        <f t="shared" si="23"/>
        <v>0</v>
      </c>
      <c r="K83" s="3">
        <f t="shared" si="23"/>
        <v>0</v>
      </c>
      <c r="L83" s="3">
        <f t="shared" si="23"/>
        <v>0</v>
      </c>
      <c r="M83" s="3">
        <f t="shared" si="23"/>
        <v>149.72288956145985</v>
      </c>
      <c r="N83" s="3">
        <f t="shared" si="23"/>
        <v>0</v>
      </c>
      <c r="O83" s="3">
        <f t="shared" si="23"/>
        <v>0</v>
      </c>
      <c r="P83" s="3">
        <f t="shared" si="23"/>
        <v>0</v>
      </c>
      <c r="Q83" s="3">
        <f t="shared" si="23"/>
        <v>0</v>
      </c>
      <c r="R83" s="3">
        <f t="shared" si="23"/>
        <v>0</v>
      </c>
      <c r="S83" s="3">
        <f t="shared" si="23"/>
        <v>0</v>
      </c>
      <c r="T83" s="3">
        <f t="shared" si="23"/>
        <v>0</v>
      </c>
      <c r="U83" s="3">
        <f t="shared" si="23"/>
        <v>0.53226954274190064</v>
      </c>
      <c r="V83" s="3">
        <f t="shared" si="23"/>
        <v>0</v>
      </c>
      <c r="X83" s="2">
        <f>+(SUM(C83:V83)*1000000)/1000000000</f>
        <v>0.15029077415777736</v>
      </c>
    </row>
    <row r="84" spans="1:24" x14ac:dyDescent="0.2">
      <c r="A84">
        <v>6004</v>
      </c>
      <c r="B84">
        <v>9</v>
      </c>
      <c r="C84" s="3">
        <f t="shared" ref="C84:V84" si="24">+(C43-C3)</f>
        <v>0</v>
      </c>
      <c r="D84" s="3">
        <f t="shared" si="24"/>
        <v>0</v>
      </c>
      <c r="E84" s="3">
        <f t="shared" si="24"/>
        <v>0</v>
      </c>
      <c r="F84" s="3">
        <f t="shared" si="24"/>
        <v>0</v>
      </c>
      <c r="G84" s="3">
        <f t="shared" si="24"/>
        <v>0</v>
      </c>
      <c r="H84" s="3">
        <f t="shared" si="24"/>
        <v>0</v>
      </c>
      <c r="I84" s="3">
        <f t="shared" si="24"/>
        <v>3.63736632957199E-2</v>
      </c>
      <c r="J84" s="3">
        <f t="shared" si="24"/>
        <v>0</v>
      </c>
      <c r="K84" s="3">
        <f t="shared" si="24"/>
        <v>0</v>
      </c>
      <c r="L84" s="3">
        <f t="shared" si="24"/>
        <v>0</v>
      </c>
      <c r="M84" s="3">
        <f t="shared" si="24"/>
        <v>0</v>
      </c>
      <c r="N84" s="3">
        <f t="shared" si="24"/>
        <v>0</v>
      </c>
      <c r="O84" s="3">
        <f t="shared" si="24"/>
        <v>0</v>
      </c>
      <c r="P84" s="3">
        <f t="shared" si="24"/>
        <v>0</v>
      </c>
      <c r="Q84" s="3">
        <f t="shared" si="24"/>
        <v>0</v>
      </c>
      <c r="R84" s="3">
        <f t="shared" si="24"/>
        <v>0</v>
      </c>
      <c r="S84" s="3">
        <f t="shared" si="24"/>
        <v>0</v>
      </c>
      <c r="T84" s="3">
        <f t="shared" si="24"/>
        <v>89.187697960173978</v>
      </c>
      <c r="U84" s="3">
        <f t="shared" si="24"/>
        <v>0.54416140377259836</v>
      </c>
      <c r="V84" s="3">
        <f t="shared" si="24"/>
        <v>48.792001736100019</v>
      </c>
      <c r="X84" s="2">
        <f t="shared" ref="X84:X120" si="25">+(SUM(C84:V84)*1000000)/1000000000</f>
        <v>0.13856023476334231</v>
      </c>
    </row>
    <row r="85" spans="1:24" x14ac:dyDescent="0.2">
      <c r="A85">
        <v>6004</v>
      </c>
      <c r="B85">
        <v>10</v>
      </c>
      <c r="C85" s="3">
        <f t="shared" ref="C85:V85" si="26">+(C44-C4)</f>
        <v>0</v>
      </c>
      <c r="D85" s="3">
        <f t="shared" si="26"/>
        <v>0</v>
      </c>
      <c r="E85" s="3">
        <f t="shared" si="26"/>
        <v>0</v>
      </c>
      <c r="F85" s="3">
        <f t="shared" si="26"/>
        <v>0</v>
      </c>
      <c r="G85" s="3">
        <f t="shared" si="26"/>
        <v>0</v>
      </c>
      <c r="H85" s="3">
        <f t="shared" si="26"/>
        <v>0</v>
      </c>
      <c r="I85" s="3">
        <f t="shared" si="26"/>
        <v>0.11756297549191691</v>
      </c>
      <c r="J85" s="3">
        <f t="shared" si="26"/>
        <v>0</v>
      </c>
      <c r="K85" s="3">
        <f t="shared" si="26"/>
        <v>0</v>
      </c>
      <c r="L85" s="3">
        <f t="shared" si="26"/>
        <v>0</v>
      </c>
      <c r="M85" s="3">
        <f t="shared" si="26"/>
        <v>263.34390348824991</v>
      </c>
      <c r="N85" s="3">
        <f t="shared" si="26"/>
        <v>0</v>
      </c>
      <c r="O85" s="3">
        <f t="shared" si="26"/>
        <v>0</v>
      </c>
      <c r="P85" s="3">
        <f t="shared" si="26"/>
        <v>0</v>
      </c>
      <c r="Q85" s="3">
        <f t="shared" si="26"/>
        <v>121.21665729719007</v>
      </c>
      <c r="R85" s="3">
        <f t="shared" si="26"/>
        <v>0</v>
      </c>
      <c r="S85" s="3">
        <f t="shared" si="26"/>
        <v>0</v>
      </c>
      <c r="T85" s="3">
        <f t="shared" si="26"/>
        <v>78.211102266172503</v>
      </c>
      <c r="U85" s="3">
        <f t="shared" si="26"/>
        <v>0.55214437892709967</v>
      </c>
      <c r="V85" s="3">
        <f t="shared" si="26"/>
        <v>24.196890860611006</v>
      </c>
      <c r="X85" s="2">
        <f t="shared" si="25"/>
        <v>0.4876382612666425</v>
      </c>
    </row>
    <row r="86" spans="1:24" x14ac:dyDescent="0.2">
      <c r="A86">
        <v>6004</v>
      </c>
      <c r="B86">
        <v>11</v>
      </c>
      <c r="C86" s="3">
        <f t="shared" ref="C86:V86" si="27">+(C45-C5)</f>
        <v>0</v>
      </c>
      <c r="D86" s="3">
        <f t="shared" si="27"/>
        <v>0</v>
      </c>
      <c r="E86" s="3">
        <f t="shared" si="27"/>
        <v>0</v>
      </c>
      <c r="F86" s="3">
        <f t="shared" si="27"/>
        <v>0</v>
      </c>
      <c r="G86" s="3">
        <f t="shared" si="27"/>
        <v>0</v>
      </c>
      <c r="H86" s="3">
        <f t="shared" si="27"/>
        <v>0</v>
      </c>
      <c r="I86" s="3">
        <f t="shared" si="27"/>
        <v>11.897637053866919</v>
      </c>
      <c r="J86" s="3">
        <f t="shared" si="27"/>
        <v>0</v>
      </c>
      <c r="K86" s="3">
        <f t="shared" si="27"/>
        <v>0</v>
      </c>
      <c r="L86" s="3">
        <f t="shared" si="27"/>
        <v>0</v>
      </c>
      <c r="M86" s="3">
        <f t="shared" si="27"/>
        <v>-273.78163329244001</v>
      </c>
      <c r="N86" s="3">
        <f t="shared" si="27"/>
        <v>1884.6508828555</v>
      </c>
      <c r="O86" s="3">
        <f t="shared" si="27"/>
        <v>-182.88316557529001</v>
      </c>
      <c r="P86" s="3">
        <f t="shared" si="27"/>
        <v>0</v>
      </c>
      <c r="Q86" s="3">
        <f t="shared" si="27"/>
        <v>0</v>
      </c>
      <c r="R86" s="3">
        <f t="shared" si="27"/>
        <v>0</v>
      </c>
      <c r="S86" s="3">
        <f t="shared" si="27"/>
        <v>0</v>
      </c>
      <c r="T86" s="3">
        <f t="shared" si="27"/>
        <v>477.44014290776659</v>
      </c>
      <c r="U86" s="3">
        <f t="shared" si="27"/>
        <v>0</v>
      </c>
      <c r="V86" s="3">
        <f t="shared" si="27"/>
        <v>1137.78016715685</v>
      </c>
      <c r="X86" s="2">
        <f t="shared" si="25"/>
        <v>3.0551040311062536</v>
      </c>
    </row>
    <row r="87" spans="1:24" x14ac:dyDescent="0.2">
      <c r="A87">
        <v>6004</v>
      </c>
      <c r="B87">
        <v>12</v>
      </c>
      <c r="C87" s="3">
        <f t="shared" ref="C87:V87" si="28">+(C46-C6)</f>
        <v>0</v>
      </c>
      <c r="D87" s="3">
        <f t="shared" si="28"/>
        <v>0</v>
      </c>
      <c r="E87" s="3">
        <f t="shared" si="28"/>
        <v>0</v>
      </c>
      <c r="F87" s="3">
        <f t="shared" si="28"/>
        <v>0</v>
      </c>
      <c r="G87" s="3">
        <f t="shared" si="28"/>
        <v>0</v>
      </c>
      <c r="H87" s="3">
        <f t="shared" si="28"/>
        <v>0</v>
      </c>
      <c r="I87" s="3">
        <f t="shared" si="28"/>
        <v>13.725090986390461</v>
      </c>
      <c r="J87" s="3">
        <f t="shared" si="28"/>
        <v>0</v>
      </c>
      <c r="K87" s="3">
        <f t="shared" si="28"/>
        <v>0</v>
      </c>
      <c r="L87" s="3">
        <f t="shared" si="28"/>
        <v>0</v>
      </c>
      <c r="M87" s="3">
        <f t="shared" si="28"/>
        <v>-904.54442029199799</v>
      </c>
      <c r="N87" s="3">
        <f t="shared" si="28"/>
        <v>1874.13291418321</v>
      </c>
      <c r="O87" s="3">
        <f t="shared" si="28"/>
        <v>664.99401878183198</v>
      </c>
      <c r="P87" s="3">
        <f t="shared" si="28"/>
        <v>0</v>
      </c>
      <c r="Q87" s="3">
        <f t="shared" si="28"/>
        <v>0</v>
      </c>
      <c r="R87" s="3">
        <f t="shared" si="28"/>
        <v>0</v>
      </c>
      <c r="S87" s="3">
        <f t="shared" si="28"/>
        <v>0</v>
      </c>
      <c r="T87" s="3">
        <f t="shared" si="28"/>
        <v>553.18114571811498</v>
      </c>
      <c r="U87" s="3">
        <f t="shared" si="28"/>
        <v>0</v>
      </c>
      <c r="V87" s="3">
        <f t="shared" si="28"/>
        <v>143.82069686254499</v>
      </c>
      <c r="X87" s="2">
        <f t="shared" si="25"/>
        <v>2.3453094462400945</v>
      </c>
    </row>
    <row r="88" spans="1:24" x14ac:dyDescent="0.2">
      <c r="A88">
        <v>6004</v>
      </c>
      <c r="B88">
        <v>13</v>
      </c>
      <c r="C88" s="3">
        <f t="shared" ref="C88:V88" si="29">+(C47-C7)</f>
        <v>0</v>
      </c>
      <c r="D88" s="3">
        <f t="shared" si="29"/>
        <v>0</v>
      </c>
      <c r="E88" s="3">
        <f t="shared" si="29"/>
        <v>0</v>
      </c>
      <c r="F88" s="3">
        <f t="shared" si="29"/>
        <v>0</v>
      </c>
      <c r="G88" s="3">
        <f t="shared" si="29"/>
        <v>0</v>
      </c>
      <c r="H88" s="3">
        <f t="shared" si="29"/>
        <v>0</v>
      </c>
      <c r="I88" s="3">
        <f t="shared" si="29"/>
        <v>17.946671755186031</v>
      </c>
      <c r="J88" s="3">
        <f t="shared" si="29"/>
        <v>0</v>
      </c>
      <c r="K88" s="3">
        <f t="shared" si="29"/>
        <v>0</v>
      </c>
      <c r="L88" s="3">
        <f t="shared" si="29"/>
        <v>0</v>
      </c>
      <c r="M88" s="3">
        <f t="shared" si="29"/>
        <v>-1546.0667275453329</v>
      </c>
      <c r="N88" s="3">
        <f t="shared" si="29"/>
        <v>1865.73225959197</v>
      </c>
      <c r="O88" s="3">
        <f t="shared" si="29"/>
        <v>228.88024775842018</v>
      </c>
      <c r="P88" s="3">
        <f t="shared" si="29"/>
        <v>0</v>
      </c>
      <c r="Q88" s="3">
        <f t="shared" si="29"/>
        <v>0</v>
      </c>
      <c r="R88" s="3">
        <f t="shared" si="29"/>
        <v>0</v>
      </c>
      <c r="S88" s="3">
        <f t="shared" si="29"/>
        <v>0</v>
      </c>
      <c r="T88" s="3">
        <f t="shared" si="29"/>
        <v>500.16610803604135</v>
      </c>
      <c r="U88" s="3">
        <f t="shared" si="29"/>
        <v>0</v>
      </c>
      <c r="V88" s="3">
        <f t="shared" si="29"/>
        <v>638.65591859118695</v>
      </c>
      <c r="X88" s="2">
        <f t="shared" si="25"/>
        <v>1.7053144781874716</v>
      </c>
    </row>
    <row r="89" spans="1:24" x14ac:dyDescent="0.2">
      <c r="A89">
        <v>6004</v>
      </c>
      <c r="B89">
        <v>14</v>
      </c>
      <c r="C89" s="3">
        <f t="shared" ref="C89:V89" si="30">+(C48-C8)</f>
        <v>0</v>
      </c>
      <c r="D89" s="3">
        <f t="shared" si="30"/>
        <v>0</v>
      </c>
      <c r="E89" s="3">
        <f t="shared" si="30"/>
        <v>0</v>
      </c>
      <c r="F89" s="3">
        <f t="shared" si="30"/>
        <v>0</v>
      </c>
      <c r="G89" s="3">
        <f t="shared" si="30"/>
        <v>0</v>
      </c>
      <c r="H89" s="3">
        <f t="shared" si="30"/>
        <v>0</v>
      </c>
      <c r="I89" s="3">
        <f t="shared" si="30"/>
        <v>25.837601698930801</v>
      </c>
      <c r="J89" s="3">
        <f t="shared" si="30"/>
        <v>0</v>
      </c>
      <c r="K89" s="3">
        <f t="shared" si="30"/>
        <v>0</v>
      </c>
      <c r="L89" s="3">
        <f t="shared" si="30"/>
        <v>0</v>
      </c>
      <c r="M89" s="3">
        <f t="shared" si="30"/>
        <v>-1392.0573124149601</v>
      </c>
      <c r="N89" s="3">
        <f t="shared" si="30"/>
        <v>1913.3597078907701</v>
      </c>
      <c r="O89" s="3">
        <f t="shared" si="30"/>
        <v>231.58930975616053</v>
      </c>
      <c r="P89" s="3">
        <f t="shared" si="30"/>
        <v>0</v>
      </c>
      <c r="Q89" s="3">
        <f t="shared" si="30"/>
        <v>0</v>
      </c>
      <c r="R89" s="3">
        <f t="shared" si="30"/>
        <v>0</v>
      </c>
      <c r="S89" s="3">
        <f t="shared" si="30"/>
        <v>0</v>
      </c>
      <c r="T89" s="3">
        <f t="shared" si="30"/>
        <v>477.16431523390798</v>
      </c>
      <c r="U89" s="3">
        <f t="shared" si="30"/>
        <v>0</v>
      </c>
      <c r="V89" s="3">
        <f t="shared" si="30"/>
        <v>657.74896811479573</v>
      </c>
      <c r="X89" s="2">
        <f t="shared" si="25"/>
        <v>1.9136425902796048</v>
      </c>
    </row>
    <row r="90" spans="1:24" x14ac:dyDescent="0.2">
      <c r="A90">
        <v>6004</v>
      </c>
      <c r="B90">
        <v>15</v>
      </c>
      <c r="C90" s="3">
        <f t="shared" ref="C90:V90" si="31">+(C49-C9)</f>
        <v>0</v>
      </c>
      <c r="D90" s="3">
        <f t="shared" si="31"/>
        <v>0</v>
      </c>
      <c r="E90" s="3">
        <f t="shared" si="31"/>
        <v>0</v>
      </c>
      <c r="F90" s="3">
        <f t="shared" si="31"/>
        <v>0</v>
      </c>
      <c r="G90" s="3">
        <f t="shared" si="31"/>
        <v>0</v>
      </c>
      <c r="H90" s="3">
        <f t="shared" si="31"/>
        <v>0</v>
      </c>
      <c r="I90" s="3">
        <f t="shared" si="31"/>
        <v>29.423427376184819</v>
      </c>
      <c r="J90" s="3">
        <f t="shared" si="31"/>
        <v>0</v>
      </c>
      <c r="K90" s="3">
        <f t="shared" si="31"/>
        <v>0</v>
      </c>
      <c r="L90" s="3">
        <f t="shared" si="31"/>
        <v>0</v>
      </c>
      <c r="M90" s="3">
        <f t="shared" si="31"/>
        <v>-422.21833755960103</v>
      </c>
      <c r="N90" s="3">
        <f t="shared" si="31"/>
        <v>1940.50450648778</v>
      </c>
      <c r="O90" s="3">
        <f t="shared" si="31"/>
        <v>234.55227873106929</v>
      </c>
      <c r="P90" s="3">
        <f t="shared" si="31"/>
        <v>0</v>
      </c>
      <c r="Q90" s="3">
        <f t="shared" si="31"/>
        <v>0</v>
      </c>
      <c r="R90" s="3">
        <f t="shared" si="31"/>
        <v>0</v>
      </c>
      <c r="S90" s="3">
        <f t="shared" si="31"/>
        <v>0</v>
      </c>
      <c r="T90" s="3">
        <f t="shared" si="31"/>
        <v>1601.142776252876</v>
      </c>
      <c r="U90" s="3">
        <f t="shared" si="31"/>
        <v>0</v>
      </c>
      <c r="V90" s="3">
        <f t="shared" si="31"/>
        <v>0</v>
      </c>
      <c r="X90" s="2">
        <f t="shared" si="25"/>
        <v>3.3834046512883087</v>
      </c>
    </row>
    <row r="91" spans="1:24" x14ac:dyDescent="0.2">
      <c r="A91">
        <v>6004</v>
      </c>
      <c r="B91">
        <v>16</v>
      </c>
      <c r="C91" s="3">
        <f t="shared" ref="C91:V91" si="32">+(C50-C10)</f>
        <v>0</v>
      </c>
      <c r="D91" s="3">
        <f t="shared" si="32"/>
        <v>0</v>
      </c>
      <c r="E91" s="3">
        <f t="shared" si="32"/>
        <v>0</v>
      </c>
      <c r="F91" s="3">
        <f t="shared" si="32"/>
        <v>0</v>
      </c>
      <c r="G91" s="3">
        <f t="shared" si="32"/>
        <v>0</v>
      </c>
      <c r="H91" s="3">
        <f t="shared" si="32"/>
        <v>0</v>
      </c>
      <c r="I91" s="3">
        <f t="shared" si="32"/>
        <v>33.17341993827057</v>
      </c>
      <c r="J91" s="3">
        <f t="shared" si="32"/>
        <v>0</v>
      </c>
      <c r="K91" s="3">
        <f t="shared" si="32"/>
        <v>0</v>
      </c>
      <c r="L91" s="3">
        <f t="shared" si="32"/>
        <v>0</v>
      </c>
      <c r="M91" s="3">
        <f t="shared" si="32"/>
        <v>-444.991340923471</v>
      </c>
      <c r="N91" s="3">
        <f t="shared" si="32"/>
        <v>1964.8193991918999</v>
      </c>
      <c r="O91" s="3">
        <f t="shared" si="32"/>
        <v>238.66981200383719</v>
      </c>
      <c r="P91" s="3">
        <f t="shared" si="32"/>
        <v>0</v>
      </c>
      <c r="Q91" s="3">
        <f t="shared" si="32"/>
        <v>0</v>
      </c>
      <c r="R91" s="3">
        <f t="shared" si="32"/>
        <v>0</v>
      </c>
      <c r="S91" s="3">
        <f t="shared" si="32"/>
        <v>0</v>
      </c>
      <c r="T91" s="3">
        <f t="shared" si="32"/>
        <v>1611.7371454310389</v>
      </c>
      <c r="U91" s="3">
        <f t="shared" si="32"/>
        <v>0</v>
      </c>
      <c r="V91" s="3">
        <f t="shared" si="32"/>
        <v>0</v>
      </c>
      <c r="X91" s="2">
        <f t="shared" si="25"/>
        <v>3.4034084356415759</v>
      </c>
    </row>
    <row r="92" spans="1:24" x14ac:dyDescent="0.2">
      <c r="A92">
        <v>6004</v>
      </c>
      <c r="B92">
        <v>17</v>
      </c>
      <c r="C92" s="3">
        <f t="shared" ref="C92:V92" si="33">+(C51-C11)</f>
        <v>0</v>
      </c>
      <c r="D92" s="3">
        <f t="shared" si="33"/>
        <v>0</v>
      </c>
      <c r="E92" s="3">
        <f t="shared" si="33"/>
        <v>0</v>
      </c>
      <c r="F92" s="3">
        <f t="shared" si="33"/>
        <v>0</v>
      </c>
      <c r="G92" s="3">
        <f t="shared" si="33"/>
        <v>0</v>
      </c>
      <c r="H92" s="3">
        <f t="shared" si="33"/>
        <v>0</v>
      </c>
      <c r="I92" s="3">
        <f t="shared" si="33"/>
        <v>37.130946408945078</v>
      </c>
      <c r="J92" s="3">
        <f t="shared" si="33"/>
        <v>0</v>
      </c>
      <c r="K92" s="3">
        <f t="shared" si="33"/>
        <v>0</v>
      </c>
      <c r="L92" s="3">
        <f t="shared" si="33"/>
        <v>0</v>
      </c>
      <c r="M92" s="3">
        <f t="shared" si="33"/>
        <v>-1163.2566578332001</v>
      </c>
      <c r="N92" s="3">
        <f t="shared" si="33"/>
        <v>1992.78924962202</v>
      </c>
      <c r="O92" s="3">
        <f t="shared" si="33"/>
        <v>243.21959496568019</v>
      </c>
      <c r="P92" s="3">
        <f t="shared" si="33"/>
        <v>0</v>
      </c>
      <c r="Q92" s="3">
        <f t="shared" si="33"/>
        <v>0</v>
      </c>
      <c r="R92" s="3">
        <f t="shared" si="33"/>
        <v>0</v>
      </c>
      <c r="S92" s="3">
        <f t="shared" si="33"/>
        <v>0</v>
      </c>
      <c r="T92" s="3">
        <f t="shared" si="33"/>
        <v>1549.864060911977</v>
      </c>
      <c r="U92" s="3">
        <f t="shared" si="33"/>
        <v>0</v>
      </c>
      <c r="V92" s="3">
        <f t="shared" si="33"/>
        <v>0</v>
      </c>
      <c r="X92" s="2">
        <f t="shared" si="25"/>
        <v>2.6597471940754223</v>
      </c>
    </row>
    <row r="93" spans="1:24" x14ac:dyDescent="0.2">
      <c r="A93">
        <v>6004</v>
      </c>
      <c r="B93">
        <v>18</v>
      </c>
      <c r="C93" s="3">
        <f t="shared" ref="C93:V93" si="34">+(C52-C12)</f>
        <v>0</v>
      </c>
      <c r="D93" s="3">
        <f t="shared" si="34"/>
        <v>0</v>
      </c>
      <c r="E93" s="3">
        <f t="shared" si="34"/>
        <v>0</v>
      </c>
      <c r="F93" s="3">
        <f t="shared" si="34"/>
        <v>0</v>
      </c>
      <c r="G93" s="3">
        <f t="shared" si="34"/>
        <v>0</v>
      </c>
      <c r="H93" s="3">
        <f t="shared" si="34"/>
        <v>0</v>
      </c>
      <c r="I93" s="3">
        <f t="shared" si="34"/>
        <v>41.239894194473152</v>
      </c>
      <c r="J93" s="3">
        <f t="shared" si="34"/>
        <v>0</v>
      </c>
      <c r="K93" s="3">
        <f t="shared" si="34"/>
        <v>0</v>
      </c>
      <c r="L93" s="3">
        <f t="shared" si="34"/>
        <v>0</v>
      </c>
      <c r="M93" s="3">
        <f t="shared" si="34"/>
        <v>-2110.87830005767</v>
      </c>
      <c r="N93" s="3">
        <f t="shared" si="34"/>
        <v>2018.2861330087101</v>
      </c>
      <c r="O93" s="3">
        <f t="shared" si="34"/>
        <v>247.54174373945642</v>
      </c>
      <c r="P93" s="3">
        <f t="shared" si="34"/>
        <v>0</v>
      </c>
      <c r="Q93" s="3">
        <f t="shared" si="34"/>
        <v>0</v>
      </c>
      <c r="R93" s="3">
        <f t="shared" si="34"/>
        <v>0</v>
      </c>
      <c r="S93" s="3">
        <f t="shared" si="34"/>
        <v>0</v>
      </c>
      <c r="T93" s="3">
        <f t="shared" si="34"/>
        <v>425.94776930609396</v>
      </c>
      <c r="U93" s="3">
        <f t="shared" si="34"/>
        <v>0</v>
      </c>
      <c r="V93" s="3">
        <f t="shared" si="34"/>
        <v>726.80990730599353</v>
      </c>
      <c r="X93" s="2">
        <f t="shared" si="25"/>
        <v>1.3489471474970569</v>
      </c>
    </row>
    <row r="94" spans="1:24" x14ac:dyDescent="0.2">
      <c r="A94">
        <v>6004</v>
      </c>
      <c r="B94">
        <v>19</v>
      </c>
      <c r="C94" s="3">
        <f t="shared" ref="C94:V94" si="35">+(C53-C13)</f>
        <v>0</v>
      </c>
      <c r="D94" s="3">
        <f t="shared" si="35"/>
        <v>0</v>
      </c>
      <c r="E94" s="3">
        <f t="shared" si="35"/>
        <v>0</v>
      </c>
      <c r="F94" s="3">
        <f t="shared" si="35"/>
        <v>0</v>
      </c>
      <c r="G94" s="3">
        <f t="shared" si="35"/>
        <v>0</v>
      </c>
      <c r="H94" s="3">
        <f t="shared" si="35"/>
        <v>0</v>
      </c>
      <c r="I94" s="3">
        <f t="shared" si="35"/>
        <v>45.480650600609607</v>
      </c>
      <c r="J94" s="3">
        <f t="shared" si="35"/>
        <v>0</v>
      </c>
      <c r="K94" s="3">
        <f t="shared" si="35"/>
        <v>0</v>
      </c>
      <c r="L94" s="3">
        <f t="shared" si="35"/>
        <v>0</v>
      </c>
      <c r="M94" s="3">
        <f t="shared" si="35"/>
        <v>-545.20256873383403</v>
      </c>
      <c r="N94" s="3">
        <f t="shared" si="35"/>
        <v>2043.03762357201</v>
      </c>
      <c r="O94" s="3">
        <f t="shared" si="35"/>
        <v>251.82180669250258</v>
      </c>
      <c r="P94" s="3">
        <f t="shared" si="35"/>
        <v>0</v>
      </c>
      <c r="Q94" s="3">
        <f t="shared" si="35"/>
        <v>0</v>
      </c>
      <c r="R94" s="3">
        <f t="shared" si="35"/>
        <v>0</v>
      </c>
      <c r="S94" s="3">
        <f t="shared" si="35"/>
        <v>0</v>
      </c>
      <c r="T94" s="3">
        <f t="shared" si="35"/>
        <v>1573.023137408599</v>
      </c>
      <c r="U94" s="3">
        <f t="shared" si="35"/>
        <v>0</v>
      </c>
      <c r="V94" s="3">
        <f t="shared" si="35"/>
        <v>36.807495770840006</v>
      </c>
      <c r="X94" s="2">
        <f t="shared" si="25"/>
        <v>3.4049681453107272</v>
      </c>
    </row>
    <row r="95" spans="1:24" x14ac:dyDescent="0.2">
      <c r="A95">
        <v>6004</v>
      </c>
      <c r="B95">
        <v>20</v>
      </c>
      <c r="C95" s="3">
        <f t="shared" ref="C95:V95" si="36">+(C54-C14)</f>
        <v>0</v>
      </c>
      <c r="D95" s="3">
        <f t="shared" si="36"/>
        <v>0</v>
      </c>
      <c r="E95" s="3">
        <f t="shared" si="36"/>
        <v>0</v>
      </c>
      <c r="F95" s="3">
        <f t="shared" si="36"/>
        <v>0</v>
      </c>
      <c r="G95" s="3">
        <f t="shared" si="36"/>
        <v>0</v>
      </c>
      <c r="H95" s="3">
        <f t="shared" si="36"/>
        <v>0</v>
      </c>
      <c r="I95" s="3">
        <f t="shared" si="36"/>
        <v>49.840866552945201</v>
      </c>
      <c r="J95" s="3">
        <f t="shared" si="36"/>
        <v>0</v>
      </c>
      <c r="K95" s="3">
        <f t="shared" si="36"/>
        <v>0</v>
      </c>
      <c r="L95" s="3">
        <f t="shared" si="36"/>
        <v>0</v>
      </c>
      <c r="M95" s="3">
        <f t="shared" si="36"/>
        <v>-1450.6045580750399</v>
      </c>
      <c r="N95" s="3">
        <f t="shared" si="36"/>
        <v>2067.3855919007701</v>
      </c>
      <c r="O95" s="3">
        <f t="shared" si="36"/>
        <v>256.15655281237798</v>
      </c>
      <c r="P95" s="3">
        <f t="shared" si="36"/>
        <v>0</v>
      </c>
      <c r="Q95" s="3">
        <f t="shared" si="36"/>
        <v>0</v>
      </c>
      <c r="R95" s="3">
        <f t="shared" si="36"/>
        <v>0</v>
      </c>
      <c r="S95" s="3">
        <f t="shared" si="36"/>
        <v>0</v>
      </c>
      <c r="T95" s="3">
        <f t="shared" si="36"/>
        <v>-55.634169254381597</v>
      </c>
      <c r="U95" s="3">
        <f t="shared" si="36"/>
        <v>0</v>
      </c>
      <c r="V95" s="3">
        <f t="shared" si="36"/>
        <v>1064.77484884673</v>
      </c>
      <c r="X95" s="2">
        <f t="shared" si="25"/>
        <v>1.931919132783402</v>
      </c>
    </row>
    <row r="96" spans="1:24" x14ac:dyDescent="0.2">
      <c r="A96">
        <v>6004</v>
      </c>
      <c r="B96">
        <v>21</v>
      </c>
      <c r="C96" s="3">
        <f t="shared" ref="C96:V96" si="37">+(C55-C15)</f>
        <v>0</v>
      </c>
      <c r="D96" s="3">
        <f t="shared" si="37"/>
        <v>0</v>
      </c>
      <c r="E96" s="3">
        <f t="shared" si="37"/>
        <v>0</v>
      </c>
      <c r="F96" s="3">
        <f t="shared" si="37"/>
        <v>0</v>
      </c>
      <c r="G96" s="3">
        <f t="shared" si="37"/>
        <v>0</v>
      </c>
      <c r="H96" s="3">
        <f t="shared" si="37"/>
        <v>0</v>
      </c>
      <c r="I96" s="3">
        <f t="shared" si="37"/>
        <v>54.187638687111111</v>
      </c>
      <c r="J96" s="3">
        <f t="shared" si="37"/>
        <v>0</v>
      </c>
      <c r="K96" s="3">
        <f t="shared" si="37"/>
        <v>0</v>
      </c>
      <c r="L96" s="3">
        <f t="shared" si="37"/>
        <v>0</v>
      </c>
      <c r="M96" s="3">
        <f t="shared" si="37"/>
        <v>-678.79872901209797</v>
      </c>
      <c r="N96" s="3">
        <f t="shared" si="37"/>
        <v>2089.0906023522798</v>
      </c>
      <c r="O96" s="3">
        <f t="shared" si="37"/>
        <v>260.19733605873239</v>
      </c>
      <c r="P96" s="3">
        <f t="shared" si="37"/>
        <v>0</v>
      </c>
      <c r="Q96" s="3">
        <f t="shared" si="37"/>
        <v>0</v>
      </c>
      <c r="R96" s="3">
        <f t="shared" si="37"/>
        <v>0</v>
      </c>
      <c r="S96" s="3">
        <f t="shared" si="37"/>
        <v>0</v>
      </c>
      <c r="T96" s="3">
        <f t="shared" si="37"/>
        <v>-33.663340257572401</v>
      </c>
      <c r="U96" s="3">
        <f t="shared" si="37"/>
        <v>0</v>
      </c>
      <c r="V96" s="3">
        <f t="shared" si="37"/>
        <v>1073.3146482755969</v>
      </c>
      <c r="X96" s="2">
        <f t="shared" si="25"/>
        <v>2.7643281561040496</v>
      </c>
    </row>
    <row r="97" spans="1:24" x14ac:dyDescent="0.2">
      <c r="A97">
        <v>6004</v>
      </c>
      <c r="B97">
        <v>22</v>
      </c>
      <c r="C97" s="3">
        <f t="shared" ref="C97:V97" si="38">+(C56-C16)</f>
        <v>0</v>
      </c>
      <c r="D97" s="3">
        <f t="shared" si="38"/>
        <v>0</v>
      </c>
      <c r="E97" s="3">
        <f t="shared" si="38"/>
        <v>0</v>
      </c>
      <c r="F97" s="3">
        <f t="shared" si="38"/>
        <v>0</v>
      </c>
      <c r="G97" s="3">
        <f t="shared" si="38"/>
        <v>0</v>
      </c>
      <c r="H97" s="3">
        <f t="shared" si="38"/>
        <v>0</v>
      </c>
      <c r="I97" s="3">
        <f t="shared" si="38"/>
        <v>58.730503075030306</v>
      </c>
      <c r="J97" s="3">
        <f t="shared" si="38"/>
        <v>0</v>
      </c>
      <c r="K97" s="3">
        <f t="shared" si="38"/>
        <v>0</v>
      </c>
      <c r="L97" s="3">
        <f t="shared" si="38"/>
        <v>0</v>
      </c>
      <c r="M97" s="3">
        <f t="shared" si="38"/>
        <v>-768.35742827922104</v>
      </c>
      <c r="N97" s="3">
        <f t="shared" si="38"/>
        <v>2114.04298220484</v>
      </c>
      <c r="O97" s="3">
        <f t="shared" si="38"/>
        <v>264.77571305720204</v>
      </c>
      <c r="P97" s="3">
        <f t="shared" si="38"/>
        <v>0</v>
      </c>
      <c r="Q97" s="3">
        <f t="shared" si="38"/>
        <v>0</v>
      </c>
      <c r="R97" s="3">
        <f t="shared" si="38"/>
        <v>0</v>
      </c>
      <c r="S97" s="3">
        <f t="shared" si="38"/>
        <v>0</v>
      </c>
      <c r="T97" s="3">
        <f t="shared" si="38"/>
        <v>0</v>
      </c>
      <c r="U97" s="3">
        <f t="shared" si="38"/>
        <v>0</v>
      </c>
      <c r="V97" s="3">
        <f t="shared" si="38"/>
        <v>1073.3135704608781</v>
      </c>
      <c r="X97" s="2">
        <f t="shared" si="25"/>
        <v>2.7425053405187292</v>
      </c>
    </row>
    <row r="98" spans="1:24" x14ac:dyDescent="0.2">
      <c r="A98">
        <v>6004</v>
      </c>
      <c r="B98">
        <v>23</v>
      </c>
      <c r="C98" s="3">
        <f t="shared" ref="C98:V98" si="39">+(C57-C17)</f>
        <v>0</v>
      </c>
      <c r="D98" s="3">
        <f t="shared" si="39"/>
        <v>0</v>
      </c>
      <c r="E98" s="3">
        <f t="shared" si="39"/>
        <v>0</v>
      </c>
      <c r="F98" s="3">
        <f t="shared" si="39"/>
        <v>0</v>
      </c>
      <c r="G98" s="3">
        <f t="shared" si="39"/>
        <v>0</v>
      </c>
      <c r="H98" s="3">
        <f t="shared" si="39"/>
        <v>0</v>
      </c>
      <c r="I98" s="3">
        <f t="shared" si="39"/>
        <v>54.961715901155387</v>
      </c>
      <c r="J98" s="3">
        <f t="shared" si="39"/>
        <v>0</v>
      </c>
      <c r="K98" s="3">
        <f t="shared" si="39"/>
        <v>0</v>
      </c>
      <c r="L98" s="3">
        <f t="shared" si="39"/>
        <v>0</v>
      </c>
      <c r="M98" s="3">
        <f t="shared" si="39"/>
        <v>-743.80759202962895</v>
      </c>
      <c r="N98" s="3">
        <f t="shared" si="39"/>
        <v>2140.4907844086902</v>
      </c>
      <c r="O98" s="3">
        <f t="shared" si="39"/>
        <v>269.70993391275488</v>
      </c>
      <c r="P98" s="3">
        <f t="shared" si="39"/>
        <v>0</v>
      </c>
      <c r="Q98" s="3">
        <f t="shared" si="39"/>
        <v>0</v>
      </c>
      <c r="R98" s="3">
        <f t="shared" si="39"/>
        <v>0</v>
      </c>
      <c r="S98" s="3">
        <f t="shared" si="39"/>
        <v>-198.04674249299401</v>
      </c>
      <c r="T98" s="3">
        <f t="shared" si="39"/>
        <v>0</v>
      </c>
      <c r="U98" s="3">
        <f t="shared" si="39"/>
        <v>0</v>
      </c>
      <c r="V98" s="3">
        <f t="shared" si="39"/>
        <v>1081.8582066946751</v>
      </c>
      <c r="X98" s="2">
        <f t="shared" si="25"/>
        <v>2.6051663063946524</v>
      </c>
    </row>
    <row r="99" spans="1:24" x14ac:dyDescent="0.2">
      <c r="A99">
        <v>6004</v>
      </c>
      <c r="B99">
        <v>24</v>
      </c>
      <c r="C99" s="3">
        <f t="shared" ref="C99:V99" si="40">+(C58-C18)</f>
        <v>0</v>
      </c>
      <c r="D99" s="3">
        <f t="shared" si="40"/>
        <v>0</v>
      </c>
      <c r="E99" s="3">
        <f t="shared" si="40"/>
        <v>0</v>
      </c>
      <c r="F99" s="3">
        <f t="shared" si="40"/>
        <v>0</v>
      </c>
      <c r="G99" s="3">
        <f t="shared" si="40"/>
        <v>0</v>
      </c>
      <c r="H99" s="3">
        <f t="shared" si="40"/>
        <v>0</v>
      </c>
      <c r="I99" s="3">
        <f t="shared" si="40"/>
        <v>58.145276757264718</v>
      </c>
      <c r="J99" s="3">
        <f t="shared" si="40"/>
        <v>0</v>
      </c>
      <c r="K99" s="3">
        <f t="shared" si="40"/>
        <v>0</v>
      </c>
      <c r="L99" s="3">
        <f t="shared" si="40"/>
        <v>0</v>
      </c>
      <c r="M99" s="3">
        <f t="shared" si="40"/>
        <v>-1321.31691785352</v>
      </c>
      <c r="N99" s="3">
        <f t="shared" si="40"/>
        <v>2185.5314686329598</v>
      </c>
      <c r="O99" s="3">
        <f t="shared" si="40"/>
        <v>274.15341526618192</v>
      </c>
      <c r="P99" s="3">
        <f t="shared" si="40"/>
        <v>0</v>
      </c>
      <c r="Q99" s="3">
        <f t="shared" si="40"/>
        <v>0</v>
      </c>
      <c r="R99" s="3">
        <f t="shared" si="40"/>
        <v>0</v>
      </c>
      <c r="S99" s="3">
        <f t="shared" si="40"/>
        <v>-242.629740761238</v>
      </c>
      <c r="T99" s="3">
        <f t="shared" si="40"/>
        <v>0</v>
      </c>
      <c r="U99" s="3">
        <f t="shared" si="40"/>
        <v>0</v>
      </c>
      <c r="V99" s="3">
        <f t="shared" si="40"/>
        <v>1121.665514945935</v>
      </c>
      <c r="X99" s="2">
        <f t="shared" si="25"/>
        <v>2.0755490169875834</v>
      </c>
    </row>
    <row r="100" spans="1:24" x14ac:dyDescent="0.2">
      <c r="A100">
        <v>6004</v>
      </c>
      <c r="B100">
        <v>25</v>
      </c>
      <c r="C100" s="3">
        <f t="shared" ref="C100:V100" si="41">+(C59-C19)</f>
        <v>0</v>
      </c>
      <c r="D100" s="3">
        <f t="shared" si="41"/>
        <v>0</v>
      </c>
      <c r="E100" s="3">
        <f t="shared" si="41"/>
        <v>0</v>
      </c>
      <c r="F100" s="3">
        <f t="shared" si="41"/>
        <v>0</v>
      </c>
      <c r="G100" s="3">
        <f t="shared" si="41"/>
        <v>0</v>
      </c>
      <c r="H100" s="3">
        <f t="shared" si="41"/>
        <v>0</v>
      </c>
      <c r="I100" s="3">
        <f t="shared" si="41"/>
        <v>61.331512688102052</v>
      </c>
      <c r="J100" s="3">
        <f t="shared" si="41"/>
        <v>0</v>
      </c>
      <c r="K100" s="3">
        <f>+(K59-K19)</f>
        <v>-3602.8254572904498</v>
      </c>
      <c r="L100" s="3">
        <f t="shared" si="41"/>
        <v>0</v>
      </c>
      <c r="M100" s="3">
        <f t="shared" si="41"/>
        <v>-6953.1294472698901</v>
      </c>
      <c r="N100" s="3">
        <f t="shared" si="41"/>
        <v>2227.8061648810599</v>
      </c>
      <c r="O100" s="3">
        <f t="shared" si="41"/>
        <v>278.14591089809767</v>
      </c>
      <c r="P100" s="3">
        <f t="shared" si="41"/>
        <v>-3518.8316770606598</v>
      </c>
      <c r="Q100" s="3">
        <f t="shared" si="41"/>
        <v>0</v>
      </c>
      <c r="R100" s="3">
        <f t="shared" si="41"/>
        <v>0</v>
      </c>
      <c r="S100" s="3">
        <f t="shared" si="41"/>
        <v>-2365.9837166284901</v>
      </c>
      <c r="T100" s="3">
        <f t="shared" si="41"/>
        <v>0</v>
      </c>
      <c r="U100" s="3">
        <f t="shared" si="41"/>
        <v>0</v>
      </c>
      <c r="V100" s="3">
        <f t="shared" si="41"/>
        <v>3281.6205249036493</v>
      </c>
      <c r="X100" s="2">
        <f t="shared" si="25"/>
        <v>-10.591866184878581</v>
      </c>
    </row>
    <row r="101" spans="1:24" x14ac:dyDescent="0.2">
      <c r="A101">
        <v>6004</v>
      </c>
      <c r="B101">
        <v>26</v>
      </c>
      <c r="C101" s="3">
        <f t="shared" ref="C101:V101" si="42">+(C60-C20)</f>
        <v>0</v>
      </c>
      <c r="D101" s="3">
        <f t="shared" si="42"/>
        <v>0</v>
      </c>
      <c r="E101" s="3">
        <f t="shared" si="42"/>
        <v>0</v>
      </c>
      <c r="F101" s="3">
        <f t="shared" si="42"/>
        <v>0</v>
      </c>
      <c r="G101" s="3">
        <f t="shared" si="42"/>
        <v>0</v>
      </c>
      <c r="H101" s="3">
        <f t="shared" si="42"/>
        <v>0</v>
      </c>
      <c r="I101" s="3">
        <f t="shared" si="42"/>
        <v>64.136423349803408</v>
      </c>
      <c r="J101" s="3">
        <f t="shared" si="42"/>
        <v>0</v>
      </c>
      <c r="K101" s="3">
        <f t="shared" si="42"/>
        <v>-276.68733310477501</v>
      </c>
      <c r="L101" s="3">
        <f t="shared" si="42"/>
        <v>0</v>
      </c>
      <c r="M101" s="3">
        <f t="shared" si="42"/>
        <v>-941.71995924059797</v>
      </c>
      <c r="N101" s="3">
        <f t="shared" si="42"/>
        <v>3390.6055292063502</v>
      </c>
      <c r="O101" s="3">
        <f t="shared" si="42"/>
        <v>279.89701918648859</v>
      </c>
      <c r="P101" s="3">
        <f t="shared" si="42"/>
        <v>-1098.8012645961901</v>
      </c>
      <c r="Q101" s="3">
        <f t="shared" si="42"/>
        <v>0</v>
      </c>
      <c r="R101" s="3">
        <f t="shared" si="42"/>
        <v>0</v>
      </c>
      <c r="S101" s="3">
        <f t="shared" si="42"/>
        <v>-3311.1516499116801</v>
      </c>
      <c r="T101" s="3">
        <f t="shared" si="42"/>
        <v>-174.89531898769101</v>
      </c>
      <c r="U101" s="3">
        <f t="shared" si="42"/>
        <v>0</v>
      </c>
      <c r="V101" s="3">
        <f t="shared" si="42"/>
        <v>0</v>
      </c>
      <c r="X101" s="2">
        <f t="shared" si="25"/>
        <v>-2.0686165540982921</v>
      </c>
    </row>
    <row r="102" spans="1:24" x14ac:dyDescent="0.2">
      <c r="A102">
        <v>6004</v>
      </c>
      <c r="B102">
        <v>27</v>
      </c>
      <c r="C102" s="3">
        <f t="shared" ref="C102:V102" si="43">+(C61-C21)</f>
        <v>0</v>
      </c>
      <c r="D102" s="3">
        <f t="shared" si="43"/>
        <v>0</v>
      </c>
      <c r="E102" s="3">
        <f t="shared" si="43"/>
        <v>0</v>
      </c>
      <c r="F102" s="3">
        <f t="shared" si="43"/>
        <v>0</v>
      </c>
      <c r="G102" s="3">
        <f t="shared" si="43"/>
        <v>0</v>
      </c>
      <c r="H102" s="3">
        <f t="shared" si="43"/>
        <v>0</v>
      </c>
      <c r="I102" s="3">
        <f t="shared" si="43"/>
        <v>67.06318664045618</v>
      </c>
      <c r="J102" s="3">
        <f t="shared" si="43"/>
        <v>0</v>
      </c>
      <c r="K102" s="3">
        <f t="shared" si="43"/>
        <v>-286.304818897806</v>
      </c>
      <c r="L102" s="3">
        <f t="shared" si="43"/>
        <v>0</v>
      </c>
      <c r="M102" s="3">
        <f t="shared" si="43"/>
        <v>-1419.2378549530499</v>
      </c>
      <c r="N102" s="3">
        <f t="shared" si="43"/>
        <v>1139.9795534034799</v>
      </c>
      <c r="O102" s="3">
        <f t="shared" si="43"/>
        <v>281.05346486657385</v>
      </c>
      <c r="P102" s="3">
        <f t="shared" si="43"/>
        <v>-1329.8072928322499</v>
      </c>
      <c r="Q102" s="3">
        <f t="shared" si="43"/>
        <v>0</v>
      </c>
      <c r="R102" s="3">
        <f t="shared" si="43"/>
        <v>0</v>
      </c>
      <c r="S102" s="3">
        <f t="shared" si="43"/>
        <v>-131.24915112339599</v>
      </c>
      <c r="T102" s="3">
        <f t="shared" si="43"/>
        <v>-57.457585001358012</v>
      </c>
      <c r="U102" s="3">
        <f t="shared" si="43"/>
        <v>0</v>
      </c>
      <c r="V102" s="3">
        <f t="shared" si="43"/>
        <v>524.53165047635298</v>
      </c>
      <c r="X102" s="2">
        <f t="shared" si="25"/>
        <v>-1.2114288474209969</v>
      </c>
    </row>
    <row r="103" spans="1:24" x14ac:dyDescent="0.2">
      <c r="A103">
        <v>6004</v>
      </c>
      <c r="B103">
        <v>28</v>
      </c>
      <c r="C103" s="3">
        <f t="shared" ref="C103:V103" si="44">+(C62-C22)</f>
        <v>0</v>
      </c>
      <c r="D103" s="3">
        <f t="shared" si="44"/>
        <v>0</v>
      </c>
      <c r="E103" s="3">
        <f t="shared" si="44"/>
        <v>0</v>
      </c>
      <c r="F103" s="3">
        <f t="shared" si="44"/>
        <v>0</v>
      </c>
      <c r="G103" s="3">
        <f t="shared" si="44"/>
        <v>0</v>
      </c>
      <c r="H103" s="3">
        <f t="shared" si="44"/>
        <v>0</v>
      </c>
      <c r="I103" s="3">
        <f t="shared" si="44"/>
        <v>69.926853257188412</v>
      </c>
      <c r="J103" s="3">
        <f t="shared" si="44"/>
        <v>0</v>
      </c>
      <c r="K103" s="3">
        <f t="shared" si="44"/>
        <v>-294.02477752717499</v>
      </c>
      <c r="L103" s="3">
        <f t="shared" si="44"/>
        <v>0</v>
      </c>
      <c r="M103" s="3">
        <f t="shared" si="44"/>
        <v>-905.29872950505796</v>
      </c>
      <c r="N103" s="3">
        <f t="shared" si="44"/>
        <v>2279.1212180594798</v>
      </c>
      <c r="O103" s="3">
        <f t="shared" si="44"/>
        <v>280.88356617261775</v>
      </c>
      <c r="P103" s="3">
        <f t="shared" si="44"/>
        <v>-542.04981170882297</v>
      </c>
      <c r="Q103" s="3">
        <f t="shared" si="44"/>
        <v>0</v>
      </c>
      <c r="R103" s="3">
        <f t="shared" si="44"/>
        <v>0</v>
      </c>
      <c r="S103" s="3">
        <f t="shared" si="44"/>
        <v>-134.08237857424999</v>
      </c>
      <c r="T103" s="3">
        <f t="shared" si="44"/>
        <v>442.10389173804998</v>
      </c>
      <c r="U103" s="3">
        <f t="shared" si="44"/>
        <v>-305.57805531343581</v>
      </c>
      <c r="V103" s="3">
        <f t="shared" si="44"/>
        <v>-193.235494997214</v>
      </c>
      <c r="X103" s="2">
        <f t="shared" si="25"/>
        <v>0.6977662816013801</v>
      </c>
    </row>
    <row r="104" spans="1:24" x14ac:dyDescent="0.2">
      <c r="A104">
        <v>6004</v>
      </c>
      <c r="B104">
        <v>29</v>
      </c>
      <c r="C104" s="3">
        <f t="shared" ref="C104:V104" si="45">+(C63-C23)</f>
        <v>0</v>
      </c>
      <c r="D104" s="3">
        <f t="shared" si="45"/>
        <v>0</v>
      </c>
      <c r="E104" s="3">
        <f t="shared" si="45"/>
        <v>0</v>
      </c>
      <c r="F104" s="3">
        <f t="shared" si="45"/>
        <v>0</v>
      </c>
      <c r="G104" s="3">
        <f t="shared" si="45"/>
        <v>0</v>
      </c>
      <c r="H104" s="3">
        <f t="shared" si="45"/>
        <v>0</v>
      </c>
      <c r="I104" s="3">
        <f t="shared" si="45"/>
        <v>72.731021079076598</v>
      </c>
      <c r="J104" s="3">
        <f t="shared" si="45"/>
        <v>0</v>
      </c>
      <c r="K104" s="3">
        <f>+(K63-K23)</f>
        <v>-4636.3700140865894</v>
      </c>
      <c r="L104" s="3">
        <f t="shared" si="45"/>
        <v>0</v>
      </c>
      <c r="M104" s="3">
        <f t="shared" si="45"/>
        <v>-927.80659235031203</v>
      </c>
      <c r="N104" s="3">
        <f t="shared" si="45"/>
        <v>2285.76982937086</v>
      </c>
      <c r="O104" s="3">
        <f t="shared" si="45"/>
        <v>280.3647908976443</v>
      </c>
      <c r="P104" s="3">
        <f t="shared" si="45"/>
        <v>-564.32135021674901</v>
      </c>
      <c r="Q104" s="3">
        <f t="shared" si="45"/>
        <v>0</v>
      </c>
      <c r="R104" s="3">
        <f t="shared" si="45"/>
        <v>0</v>
      </c>
      <c r="S104" s="3">
        <f t="shared" si="45"/>
        <v>-386.72327552735601</v>
      </c>
      <c r="T104" s="3">
        <f t="shared" si="45"/>
        <v>401.65851700124006</v>
      </c>
      <c r="U104" s="3">
        <f t="shared" si="45"/>
        <v>-4.6319230926370096</v>
      </c>
      <c r="V104" s="3">
        <f t="shared" si="45"/>
        <v>605.34662647230994</v>
      </c>
      <c r="X104" s="2">
        <f t="shared" si="25"/>
        <v>-2.8739823704525125</v>
      </c>
    </row>
    <row r="105" spans="1:24" x14ac:dyDescent="0.2">
      <c r="A105">
        <v>6004</v>
      </c>
      <c r="B105">
        <v>30</v>
      </c>
      <c r="C105" s="3">
        <f t="shared" ref="C105:V105" si="46">+(C64-C24)</f>
        <v>0</v>
      </c>
      <c r="D105" s="3">
        <f t="shared" si="46"/>
        <v>0</v>
      </c>
      <c r="E105" s="3">
        <f t="shared" si="46"/>
        <v>0</v>
      </c>
      <c r="F105" s="3">
        <f t="shared" si="46"/>
        <v>0</v>
      </c>
      <c r="G105" s="3">
        <f t="shared" si="46"/>
        <v>0</v>
      </c>
      <c r="H105" s="3">
        <f t="shared" si="46"/>
        <v>0</v>
      </c>
      <c r="I105" s="3">
        <f t="shared" si="46"/>
        <v>75.598642178232893</v>
      </c>
      <c r="J105" s="3">
        <f t="shared" si="46"/>
        <v>0</v>
      </c>
      <c r="K105" s="3">
        <f t="shared" si="46"/>
        <v>-311.239686328353</v>
      </c>
      <c r="L105" s="3">
        <f t="shared" si="46"/>
        <v>0</v>
      </c>
      <c r="M105" s="3">
        <f t="shared" si="46"/>
        <v>-3805.84728335209</v>
      </c>
      <c r="N105" s="3">
        <f t="shared" si="46"/>
        <v>2291.8896362147998</v>
      </c>
      <c r="O105" s="3">
        <f t="shared" si="46"/>
        <v>279.9129844179003</v>
      </c>
      <c r="P105" s="3">
        <f t="shared" si="46"/>
        <v>-793.866489592324</v>
      </c>
      <c r="Q105" s="3">
        <f t="shared" si="46"/>
        <v>-25.024048574110111</v>
      </c>
      <c r="R105" s="3">
        <f t="shared" si="46"/>
        <v>0</v>
      </c>
      <c r="S105" s="3">
        <f t="shared" si="46"/>
        <v>-923.40293423569995</v>
      </c>
      <c r="T105" s="3">
        <f t="shared" si="46"/>
        <v>405.09182206053993</v>
      </c>
      <c r="U105" s="3">
        <f t="shared" si="46"/>
        <v>-3.0666303821469683</v>
      </c>
      <c r="V105" s="3">
        <f t="shared" si="46"/>
        <v>1771.6031990454651</v>
      </c>
      <c r="X105" s="2">
        <f t="shared" si="25"/>
        <v>-1.0383507885477863</v>
      </c>
    </row>
    <row r="106" spans="1:24" x14ac:dyDescent="0.2">
      <c r="A106">
        <v>6004</v>
      </c>
      <c r="B106">
        <v>31</v>
      </c>
      <c r="C106" s="3">
        <f t="shared" ref="C106:V106" si="47">+(C65-C25)</f>
        <v>0</v>
      </c>
      <c r="D106" s="3">
        <f t="shared" si="47"/>
        <v>0</v>
      </c>
      <c r="E106" s="3">
        <f t="shared" si="47"/>
        <v>0</v>
      </c>
      <c r="F106" s="3">
        <f t="shared" si="47"/>
        <v>0</v>
      </c>
      <c r="G106" s="3">
        <f t="shared" si="47"/>
        <v>0</v>
      </c>
      <c r="H106" s="3">
        <f t="shared" si="47"/>
        <v>0</v>
      </c>
      <c r="I106" s="3">
        <f t="shared" si="47"/>
        <v>89.778499622052692</v>
      </c>
      <c r="J106" s="3">
        <f t="shared" si="47"/>
        <v>0</v>
      </c>
      <c r="K106" s="3">
        <f t="shared" si="47"/>
        <v>-325.01598333729601</v>
      </c>
      <c r="L106" s="3">
        <f t="shared" si="47"/>
        <v>0</v>
      </c>
      <c r="M106" s="3">
        <f t="shared" si="47"/>
        <v>-978.11511002900295</v>
      </c>
      <c r="N106" s="3">
        <f t="shared" si="47"/>
        <v>2286.0465069101001</v>
      </c>
      <c r="O106" s="3">
        <f t="shared" si="47"/>
        <v>277.26133620343461</v>
      </c>
      <c r="P106" s="3">
        <f t="shared" si="47"/>
        <v>-561.43873025173195</v>
      </c>
      <c r="Q106" s="3">
        <f t="shared" si="47"/>
        <v>0</v>
      </c>
      <c r="R106" s="3">
        <f t="shared" si="47"/>
        <v>0</v>
      </c>
      <c r="S106" s="3">
        <f t="shared" si="47"/>
        <v>-853.48863766387501</v>
      </c>
      <c r="T106" s="3">
        <f t="shared" si="47"/>
        <v>390.18049707306596</v>
      </c>
      <c r="U106" s="3">
        <f t="shared" si="47"/>
        <v>-1.2022690316579769</v>
      </c>
      <c r="V106" s="3">
        <f t="shared" si="47"/>
        <v>677.80660430109992</v>
      </c>
      <c r="X106" s="2">
        <f t="shared" si="25"/>
        <v>1.0018127137961896</v>
      </c>
    </row>
    <row r="107" spans="1:24" x14ac:dyDescent="0.2">
      <c r="A107">
        <v>6004</v>
      </c>
      <c r="B107">
        <v>32</v>
      </c>
      <c r="C107" s="3">
        <f t="shared" ref="C107:V107" si="48">+(C66-C26)</f>
        <v>0</v>
      </c>
      <c r="D107" s="3">
        <f t="shared" si="48"/>
        <v>0</v>
      </c>
      <c r="E107" s="3">
        <f t="shared" si="48"/>
        <v>0</v>
      </c>
      <c r="F107" s="3">
        <f t="shared" si="48"/>
        <v>0</v>
      </c>
      <c r="G107" s="3">
        <f t="shared" si="48"/>
        <v>0</v>
      </c>
      <c r="H107" s="3">
        <f t="shared" si="48"/>
        <v>0</v>
      </c>
      <c r="I107" s="3">
        <f t="shared" si="48"/>
        <v>94.2239706501189</v>
      </c>
      <c r="J107" s="3">
        <f t="shared" si="48"/>
        <v>0</v>
      </c>
      <c r="K107" s="3">
        <f t="shared" si="48"/>
        <v>-336.03223680975202</v>
      </c>
      <c r="L107" s="3">
        <f t="shared" si="48"/>
        <v>0</v>
      </c>
      <c r="M107" s="3">
        <f t="shared" si="48"/>
        <v>-1003.12462305124</v>
      </c>
      <c r="N107" s="3">
        <f t="shared" si="48"/>
        <v>2275.4112593054201</v>
      </c>
      <c r="O107" s="3">
        <f t="shared" si="48"/>
        <v>273.86078261284769</v>
      </c>
      <c r="P107" s="3">
        <f t="shared" si="48"/>
        <v>-554.86886109149805</v>
      </c>
      <c r="Q107" s="3">
        <f t="shared" si="48"/>
        <v>0</v>
      </c>
      <c r="R107" s="3">
        <f t="shared" si="48"/>
        <v>0</v>
      </c>
      <c r="S107" s="3">
        <f t="shared" si="48"/>
        <v>-1493.4270567098999</v>
      </c>
      <c r="T107" s="3">
        <f t="shared" si="48"/>
        <v>374.15016001817003</v>
      </c>
      <c r="U107" s="3">
        <f t="shared" si="48"/>
        <v>0.366797790335049</v>
      </c>
      <c r="V107" s="3">
        <f t="shared" si="48"/>
        <v>592.14248582678294</v>
      </c>
      <c r="X107" s="2">
        <f t="shared" si="25"/>
        <v>0.22270267854128481</v>
      </c>
    </row>
    <row r="108" spans="1:24" x14ac:dyDescent="0.2">
      <c r="A108">
        <v>6004</v>
      </c>
      <c r="B108">
        <v>33</v>
      </c>
      <c r="C108" s="3">
        <f t="shared" ref="C108:V108" si="49">+(C67-C27)</f>
        <v>0</v>
      </c>
      <c r="D108" s="3">
        <f t="shared" si="49"/>
        <v>0</v>
      </c>
      <c r="E108" s="3">
        <f t="shared" si="49"/>
        <v>0</v>
      </c>
      <c r="F108" s="3">
        <f t="shared" si="49"/>
        <v>0</v>
      </c>
      <c r="G108" s="3">
        <f t="shared" si="49"/>
        <v>0</v>
      </c>
      <c r="H108" s="3">
        <f t="shared" si="49"/>
        <v>0</v>
      </c>
      <c r="I108" s="3">
        <f t="shared" si="49"/>
        <v>101.098759407638</v>
      </c>
      <c r="J108" s="3">
        <f t="shared" si="49"/>
        <v>0</v>
      </c>
      <c r="K108" s="3">
        <f t="shared" si="49"/>
        <v>-344.70468474362099</v>
      </c>
      <c r="L108" s="3">
        <f t="shared" si="49"/>
        <v>0</v>
      </c>
      <c r="M108" s="3">
        <f t="shared" si="49"/>
        <v>-3001.5235509286899</v>
      </c>
      <c r="N108" s="3">
        <f t="shared" si="49"/>
        <v>2263.1895441124302</v>
      </c>
      <c r="O108" s="3">
        <f t="shared" si="49"/>
        <v>270.126530976862</v>
      </c>
      <c r="P108" s="3">
        <f t="shared" si="49"/>
        <v>-539.46315639027705</v>
      </c>
      <c r="Q108" s="3">
        <f t="shared" si="49"/>
        <v>0</v>
      </c>
      <c r="R108" s="3">
        <f t="shared" si="49"/>
        <v>0</v>
      </c>
      <c r="S108" s="3">
        <f t="shared" si="49"/>
        <v>-150.52618129882401</v>
      </c>
      <c r="T108" s="3">
        <f t="shared" si="49"/>
        <v>357.68272134400104</v>
      </c>
      <c r="U108" s="3">
        <f t="shared" si="49"/>
        <v>1.3304861436547699</v>
      </c>
      <c r="V108" s="3">
        <f t="shared" si="49"/>
        <v>1678.6151607783991</v>
      </c>
      <c r="X108" s="2">
        <f t="shared" si="25"/>
        <v>0.63582562940157294</v>
      </c>
    </row>
    <row r="109" spans="1:24" x14ac:dyDescent="0.2">
      <c r="A109">
        <v>6004</v>
      </c>
      <c r="B109">
        <v>34</v>
      </c>
      <c r="C109" s="3">
        <f t="shared" ref="C109:V109" si="50">+(C68-C28)</f>
        <v>0</v>
      </c>
      <c r="D109" s="3">
        <f t="shared" si="50"/>
        <v>0</v>
      </c>
      <c r="E109" s="3">
        <f t="shared" si="50"/>
        <v>0</v>
      </c>
      <c r="F109" s="3">
        <f t="shared" si="50"/>
        <v>0</v>
      </c>
      <c r="G109" s="3">
        <f t="shared" si="50"/>
        <v>0</v>
      </c>
      <c r="H109" s="3">
        <f t="shared" si="50"/>
        <v>0</v>
      </c>
      <c r="I109" s="3">
        <f t="shared" si="50"/>
        <v>111.72142871033751</v>
      </c>
      <c r="J109" s="3">
        <f t="shared" si="50"/>
        <v>0</v>
      </c>
      <c r="K109" s="3">
        <f t="shared" si="50"/>
        <v>-340.00416172837703</v>
      </c>
      <c r="L109" s="3">
        <f t="shared" si="50"/>
        <v>0</v>
      </c>
      <c r="M109" s="3">
        <f t="shared" si="50"/>
        <v>-1071.0294654655199</v>
      </c>
      <c r="N109" s="3">
        <f t="shared" si="50"/>
        <v>2251.2563022450499</v>
      </c>
      <c r="O109" s="3">
        <f t="shared" si="50"/>
        <v>266.28517206123882</v>
      </c>
      <c r="P109" s="3">
        <f t="shared" si="50"/>
        <v>-542.19489927108805</v>
      </c>
      <c r="Q109" s="3">
        <f t="shared" si="50"/>
        <v>0</v>
      </c>
      <c r="R109" s="3">
        <f t="shared" si="50"/>
        <v>0</v>
      </c>
      <c r="S109" s="3">
        <f t="shared" si="50"/>
        <v>-1348.1502618882901</v>
      </c>
      <c r="T109" s="3">
        <f t="shared" si="50"/>
        <v>341.11833684101805</v>
      </c>
      <c r="U109" s="3">
        <f t="shared" si="50"/>
        <v>0</v>
      </c>
      <c r="V109" s="3">
        <f t="shared" si="50"/>
        <v>1024.7244663843171</v>
      </c>
      <c r="X109" s="2">
        <f t="shared" si="25"/>
        <v>0.69372691788868635</v>
      </c>
    </row>
    <row r="110" spans="1:24" x14ac:dyDescent="0.2">
      <c r="A110">
        <v>6004</v>
      </c>
      <c r="B110">
        <v>35</v>
      </c>
      <c r="C110" s="3">
        <f t="shared" ref="C110:V110" si="51">+(C69-C29)</f>
        <v>0</v>
      </c>
      <c r="D110" s="3">
        <f t="shared" si="51"/>
        <v>0</v>
      </c>
      <c r="E110" s="3">
        <f t="shared" si="51"/>
        <v>0</v>
      </c>
      <c r="F110" s="3">
        <f t="shared" si="51"/>
        <v>0</v>
      </c>
      <c r="G110" s="3">
        <f t="shared" si="51"/>
        <v>0</v>
      </c>
      <c r="H110" s="3">
        <f t="shared" si="51"/>
        <v>0</v>
      </c>
      <c r="I110" s="3">
        <f t="shared" si="51"/>
        <v>118.1013475704796</v>
      </c>
      <c r="J110" s="3">
        <f t="shared" si="51"/>
        <v>0</v>
      </c>
      <c r="K110" s="3">
        <f t="shared" si="51"/>
        <v>-348.34426917672698</v>
      </c>
      <c r="L110" s="3">
        <f t="shared" si="51"/>
        <v>0</v>
      </c>
      <c r="M110" s="3">
        <f t="shared" si="51"/>
        <v>-3623.5430818869199</v>
      </c>
      <c r="N110" s="3">
        <f t="shared" si="51"/>
        <v>2282.9234005028102</v>
      </c>
      <c r="O110" s="3">
        <f t="shared" si="51"/>
        <v>262.09318288518341</v>
      </c>
      <c r="P110" s="3">
        <f t="shared" si="51"/>
        <v>-541.72913258958999</v>
      </c>
      <c r="Q110" s="3">
        <f t="shared" si="51"/>
        <v>0</v>
      </c>
      <c r="R110" s="3">
        <f t="shared" si="51"/>
        <v>0</v>
      </c>
      <c r="S110" s="3">
        <f t="shared" si="51"/>
        <v>-156.696430164411</v>
      </c>
      <c r="T110" s="3">
        <f t="shared" si="51"/>
        <v>327.70712979478401</v>
      </c>
      <c r="U110" s="3">
        <f t="shared" si="51"/>
        <v>0</v>
      </c>
      <c r="V110" s="3">
        <f t="shared" si="51"/>
        <v>1267.634520268294</v>
      </c>
      <c r="X110" s="2">
        <f t="shared" si="25"/>
        <v>-0.41185333279609654</v>
      </c>
    </row>
    <row r="111" spans="1:24" x14ac:dyDescent="0.2">
      <c r="A111">
        <v>6004</v>
      </c>
      <c r="B111">
        <v>36</v>
      </c>
      <c r="C111" s="3">
        <f t="shared" ref="C111:V111" si="52">+(C70-C30)</f>
        <v>0</v>
      </c>
      <c r="D111" s="3">
        <f t="shared" si="52"/>
        <v>0</v>
      </c>
      <c r="E111" s="3">
        <f t="shared" si="52"/>
        <v>0</v>
      </c>
      <c r="F111" s="3">
        <f t="shared" si="52"/>
        <v>0</v>
      </c>
      <c r="G111" s="3">
        <f t="shared" si="52"/>
        <v>0</v>
      </c>
      <c r="H111" s="3">
        <f t="shared" si="52"/>
        <v>0</v>
      </c>
      <c r="I111" s="3">
        <f t="shared" si="52"/>
        <v>121.4927974305327</v>
      </c>
      <c r="J111" s="3">
        <f t="shared" si="52"/>
        <v>0</v>
      </c>
      <c r="K111" s="3">
        <f t="shared" si="52"/>
        <v>-398.98043245988498</v>
      </c>
      <c r="L111" s="3">
        <f t="shared" si="52"/>
        <v>0</v>
      </c>
      <c r="M111" s="3">
        <f t="shared" si="52"/>
        <v>-1497.6026157213901</v>
      </c>
      <c r="N111" s="3">
        <f t="shared" si="52"/>
        <v>3831.8833870562798</v>
      </c>
      <c r="O111" s="3">
        <f t="shared" si="52"/>
        <v>265.63379430752718</v>
      </c>
      <c r="P111" s="3">
        <f t="shared" si="52"/>
        <v>-598.03818541508394</v>
      </c>
      <c r="Q111" s="3">
        <f t="shared" si="52"/>
        <v>0</v>
      </c>
      <c r="R111" s="3">
        <f t="shared" si="52"/>
        <v>0</v>
      </c>
      <c r="S111" s="3">
        <f t="shared" si="52"/>
        <v>-145.77936108936501</v>
      </c>
      <c r="T111" s="3">
        <f t="shared" si="52"/>
        <v>355.07857237160295</v>
      </c>
      <c r="U111" s="3">
        <f t="shared" si="52"/>
        <v>0</v>
      </c>
      <c r="V111" s="3">
        <f t="shared" si="52"/>
        <v>930.44808261369417</v>
      </c>
      <c r="X111" s="2">
        <f t="shared" si="25"/>
        <v>2.8641360390939132</v>
      </c>
    </row>
    <row r="112" spans="1:24" x14ac:dyDescent="0.2">
      <c r="A112">
        <v>6004</v>
      </c>
      <c r="B112">
        <v>37</v>
      </c>
      <c r="C112" s="3">
        <f t="shared" ref="C112:V112" si="53">+(C71-C31)</f>
        <v>0</v>
      </c>
      <c r="D112" s="3">
        <f t="shared" si="53"/>
        <v>0</v>
      </c>
      <c r="E112" s="3">
        <f t="shared" si="53"/>
        <v>0</v>
      </c>
      <c r="F112" s="3">
        <f t="shared" si="53"/>
        <v>0</v>
      </c>
      <c r="G112" s="3">
        <f t="shared" si="53"/>
        <v>0</v>
      </c>
      <c r="H112" s="3">
        <f t="shared" si="53"/>
        <v>0</v>
      </c>
      <c r="I112" s="3">
        <f t="shared" si="53"/>
        <v>127.8156715313584</v>
      </c>
      <c r="J112" s="3">
        <f t="shared" si="53"/>
        <v>0</v>
      </c>
      <c r="K112" s="3">
        <f t="shared" si="53"/>
        <v>-403.40181538870502</v>
      </c>
      <c r="L112" s="3">
        <f t="shared" si="53"/>
        <v>0</v>
      </c>
      <c r="M112" s="3">
        <f t="shared" si="53"/>
        <v>-2141.9450051787298</v>
      </c>
      <c r="N112" s="3">
        <f t="shared" si="53"/>
        <v>3911.3531656699502</v>
      </c>
      <c r="O112" s="3">
        <f t="shared" si="53"/>
        <v>258.45079782318999</v>
      </c>
      <c r="P112" s="3">
        <f t="shared" si="53"/>
        <v>-604.52229411188</v>
      </c>
      <c r="Q112" s="3">
        <f t="shared" si="53"/>
        <v>0</v>
      </c>
      <c r="R112" s="3">
        <f t="shared" si="53"/>
        <v>0</v>
      </c>
      <c r="S112" s="3">
        <f t="shared" si="53"/>
        <v>-934.54085224155006</v>
      </c>
      <c r="T112" s="3">
        <f t="shared" si="53"/>
        <v>334.84337396421029</v>
      </c>
      <c r="U112" s="3">
        <f t="shared" si="53"/>
        <v>0</v>
      </c>
      <c r="V112" s="3">
        <f t="shared" si="53"/>
        <v>2335.1141680178898</v>
      </c>
      <c r="X112" s="2">
        <f t="shared" si="25"/>
        <v>2.883167210085734</v>
      </c>
    </row>
    <row r="113" spans="1:24" x14ac:dyDescent="0.2">
      <c r="A113">
        <v>6004</v>
      </c>
      <c r="B113">
        <v>38</v>
      </c>
      <c r="C113" s="3">
        <f t="shared" ref="C113:V113" si="54">+(C72-C32)</f>
        <v>0</v>
      </c>
      <c r="D113" s="3">
        <f t="shared" si="54"/>
        <v>0</v>
      </c>
      <c r="E113" s="3">
        <f t="shared" si="54"/>
        <v>0</v>
      </c>
      <c r="F113" s="3">
        <f t="shared" si="54"/>
        <v>0</v>
      </c>
      <c r="G113" s="3">
        <f t="shared" si="54"/>
        <v>0</v>
      </c>
      <c r="H113" s="3">
        <f t="shared" si="54"/>
        <v>0</v>
      </c>
      <c r="I113" s="3">
        <f t="shared" si="54"/>
        <v>134.12497026690758</v>
      </c>
      <c r="J113" s="3">
        <f t="shared" si="54"/>
        <v>0</v>
      </c>
      <c r="K113" s="3">
        <f t="shared" si="54"/>
        <v>-508.139129882053</v>
      </c>
      <c r="L113" s="3">
        <f t="shared" si="54"/>
        <v>0</v>
      </c>
      <c r="M113" s="3">
        <f t="shared" si="54"/>
        <v>-3175.8070876429401</v>
      </c>
      <c r="N113" s="3">
        <f t="shared" si="54"/>
        <v>11115.256754911499</v>
      </c>
      <c r="O113" s="3">
        <f t="shared" si="54"/>
        <v>251.1816335192855</v>
      </c>
      <c r="P113" s="3">
        <f t="shared" si="54"/>
        <v>-589.11739067762005</v>
      </c>
      <c r="Q113" s="3">
        <f t="shared" si="54"/>
        <v>0</v>
      </c>
      <c r="R113" s="3">
        <f t="shared" si="54"/>
        <v>0</v>
      </c>
      <c r="S113" s="3">
        <f t="shared" si="54"/>
        <v>-156.71807527764301</v>
      </c>
      <c r="T113" s="3">
        <f t="shared" si="54"/>
        <v>415.25142708609803</v>
      </c>
      <c r="U113" s="3">
        <f t="shared" si="54"/>
        <v>0</v>
      </c>
      <c r="V113" s="3">
        <f t="shared" si="54"/>
        <v>4714.8386282103775</v>
      </c>
      <c r="X113" s="2">
        <f t="shared" si="25"/>
        <v>12.20087173051391</v>
      </c>
    </row>
    <row r="114" spans="1:24" x14ac:dyDescent="0.2">
      <c r="A114">
        <v>6004</v>
      </c>
      <c r="B114">
        <v>39</v>
      </c>
      <c r="C114" s="3">
        <f t="shared" ref="C114:V114" si="55">+(C73-C33)</f>
        <v>0</v>
      </c>
      <c r="D114" s="3">
        <f t="shared" si="55"/>
        <v>0</v>
      </c>
      <c r="E114" s="3">
        <f t="shared" si="55"/>
        <v>0</v>
      </c>
      <c r="F114" s="3">
        <f t="shared" si="55"/>
        <v>0</v>
      </c>
      <c r="G114" s="3">
        <f t="shared" si="55"/>
        <v>0</v>
      </c>
      <c r="H114" s="3">
        <f t="shared" si="55"/>
        <v>0</v>
      </c>
      <c r="I114" s="3">
        <f t="shared" si="55"/>
        <v>140.55511283599751</v>
      </c>
      <c r="J114" s="3">
        <f t="shared" si="55"/>
        <v>0</v>
      </c>
      <c r="K114" s="3">
        <f t="shared" si="55"/>
        <v>-1226.61529380822</v>
      </c>
      <c r="L114" s="3">
        <f t="shared" si="55"/>
        <v>0</v>
      </c>
      <c r="M114" s="3">
        <f t="shared" si="55"/>
        <v>-2609.6136387660899</v>
      </c>
      <c r="N114" s="3">
        <f t="shared" si="55"/>
        <v>867.95616887450603</v>
      </c>
      <c r="O114" s="3">
        <f t="shared" si="55"/>
        <v>236.24412535136162</v>
      </c>
      <c r="P114" s="3">
        <f t="shared" si="55"/>
        <v>0</v>
      </c>
      <c r="Q114" s="3">
        <f t="shared" si="55"/>
        <v>0</v>
      </c>
      <c r="R114" s="3">
        <f t="shared" si="55"/>
        <v>0</v>
      </c>
      <c r="S114" s="3">
        <f t="shared" si="55"/>
        <v>-161.87713110754299</v>
      </c>
      <c r="T114" s="3">
        <f t="shared" si="55"/>
        <v>578.1452996670431</v>
      </c>
      <c r="U114" s="3">
        <f t="shared" si="55"/>
        <v>0</v>
      </c>
      <c r="V114" s="3">
        <f t="shared" si="55"/>
        <v>-467.84344297636397</v>
      </c>
      <c r="X114" s="2">
        <f t="shared" si="25"/>
        <v>-2.6430487999293084</v>
      </c>
    </row>
    <row r="115" spans="1:24" x14ac:dyDescent="0.2">
      <c r="A115">
        <v>6004</v>
      </c>
      <c r="B115">
        <v>40</v>
      </c>
      <c r="C115" s="3">
        <f t="shared" ref="C115:V115" si="56">+(C74-C34)</f>
        <v>0</v>
      </c>
      <c r="D115" s="3">
        <f t="shared" si="56"/>
        <v>0</v>
      </c>
      <c r="E115" s="3">
        <f t="shared" si="56"/>
        <v>0</v>
      </c>
      <c r="F115" s="3">
        <f t="shared" si="56"/>
        <v>0</v>
      </c>
      <c r="G115" s="3">
        <f t="shared" si="56"/>
        <v>0</v>
      </c>
      <c r="H115" s="3">
        <f t="shared" si="56"/>
        <v>0</v>
      </c>
      <c r="I115" s="3">
        <f t="shared" si="56"/>
        <v>146.91308574220699</v>
      </c>
      <c r="J115" s="3">
        <f t="shared" si="56"/>
        <v>0</v>
      </c>
      <c r="K115" s="3">
        <f t="shared" si="56"/>
        <v>-638.89757260838701</v>
      </c>
      <c r="L115" s="3">
        <f t="shared" si="56"/>
        <v>0</v>
      </c>
      <c r="M115" s="3">
        <f t="shared" si="56"/>
        <v>-1655.1121680813501</v>
      </c>
      <c r="N115" s="3">
        <f t="shared" si="56"/>
        <v>6672.1896521672998</v>
      </c>
      <c r="O115" s="3">
        <f t="shared" si="56"/>
        <v>222.95565843428921</v>
      </c>
      <c r="P115" s="3">
        <f t="shared" si="56"/>
        <v>0</v>
      </c>
      <c r="Q115" s="3">
        <f t="shared" si="56"/>
        <v>121.21665729719007</v>
      </c>
      <c r="R115" s="3">
        <f t="shared" si="56"/>
        <v>0</v>
      </c>
      <c r="S115" s="3">
        <f t="shared" si="56"/>
        <v>-901.18967026800601</v>
      </c>
      <c r="T115" s="3">
        <f t="shared" si="56"/>
        <v>380.583926699291</v>
      </c>
      <c r="U115" s="3">
        <f t="shared" si="56"/>
        <v>0</v>
      </c>
      <c r="V115" s="3">
        <f t="shared" si="56"/>
        <v>-2363.1628714777498</v>
      </c>
      <c r="X115" s="2">
        <f t="shared" si="25"/>
        <v>1.9854966979047839</v>
      </c>
    </row>
    <row r="116" spans="1:24" x14ac:dyDescent="0.2">
      <c r="A116">
        <v>6004</v>
      </c>
      <c r="B116">
        <v>41</v>
      </c>
      <c r="C116" s="3">
        <f t="shared" ref="C116:V116" si="57">+(C75-C35)</f>
        <v>0</v>
      </c>
      <c r="D116" s="3">
        <f t="shared" si="57"/>
        <v>0</v>
      </c>
      <c r="E116" s="3">
        <f t="shared" si="57"/>
        <v>0</v>
      </c>
      <c r="F116" s="3">
        <f t="shared" si="57"/>
        <v>0</v>
      </c>
      <c r="G116" s="3">
        <f t="shared" si="57"/>
        <v>0</v>
      </c>
      <c r="H116" s="3">
        <f t="shared" si="57"/>
        <v>0</v>
      </c>
      <c r="I116" s="3">
        <f t="shared" si="57"/>
        <v>299.9754442954353</v>
      </c>
      <c r="J116" s="3">
        <f t="shared" si="57"/>
        <v>0</v>
      </c>
      <c r="K116" s="3">
        <f t="shared" si="57"/>
        <v>-409.47979368464303</v>
      </c>
      <c r="L116" s="3">
        <f t="shared" si="57"/>
        <v>0</v>
      </c>
      <c r="M116" s="3">
        <f t="shared" si="57"/>
        <v>-1681.6372149434201</v>
      </c>
      <c r="N116" s="3">
        <f t="shared" si="57"/>
        <v>2170.2611553050201</v>
      </c>
      <c r="O116" s="3">
        <f t="shared" si="57"/>
        <v>799.13345657947389</v>
      </c>
      <c r="P116" s="3">
        <f t="shared" si="57"/>
        <v>0</v>
      </c>
      <c r="Q116" s="3">
        <f t="shared" si="57"/>
        <v>0</v>
      </c>
      <c r="R116" s="3">
        <f t="shared" si="57"/>
        <v>0</v>
      </c>
      <c r="S116" s="3">
        <f t="shared" si="57"/>
        <v>-171.51685652470201</v>
      </c>
      <c r="T116" s="3">
        <f t="shared" si="57"/>
        <v>53.259185501979005</v>
      </c>
      <c r="U116" s="3">
        <f t="shared" si="57"/>
        <v>0</v>
      </c>
      <c r="V116" s="3">
        <f t="shared" si="57"/>
        <v>-517.42557334384298</v>
      </c>
      <c r="X116" s="2">
        <f t="shared" si="25"/>
        <v>0.54256980318530046</v>
      </c>
    </row>
    <row r="117" spans="1:24" x14ac:dyDescent="0.2">
      <c r="A117">
        <v>6004</v>
      </c>
      <c r="B117">
        <v>42</v>
      </c>
      <c r="C117" s="3">
        <f t="shared" ref="C117:V117" si="58">+(C76-C36)</f>
        <v>0</v>
      </c>
      <c r="D117" s="3">
        <f t="shared" si="58"/>
        <v>0</v>
      </c>
      <c r="E117" s="3">
        <f t="shared" si="58"/>
        <v>0</v>
      </c>
      <c r="F117" s="3">
        <f t="shared" si="58"/>
        <v>0</v>
      </c>
      <c r="G117" s="3">
        <f t="shared" si="58"/>
        <v>0</v>
      </c>
      <c r="H117" s="3">
        <f t="shared" si="58"/>
        <v>0</v>
      </c>
      <c r="I117" s="3">
        <f t="shared" si="58"/>
        <v>167.65813132301412</v>
      </c>
      <c r="J117" s="3">
        <f t="shared" si="58"/>
        <v>0</v>
      </c>
      <c r="K117" s="3">
        <f t="shared" si="58"/>
        <v>-154.114569474284</v>
      </c>
      <c r="L117" s="3">
        <f t="shared" si="58"/>
        <v>0</v>
      </c>
      <c r="M117" s="3">
        <f t="shared" si="58"/>
        <v>-2410.1962237074699</v>
      </c>
      <c r="N117" s="3">
        <f t="shared" si="58"/>
        <v>2473.62491960122</v>
      </c>
      <c r="O117" s="3">
        <f t="shared" si="58"/>
        <v>1161.3718722133672</v>
      </c>
      <c r="P117" s="3">
        <f t="shared" si="58"/>
        <v>0</v>
      </c>
      <c r="Q117" s="3">
        <f t="shared" si="58"/>
        <v>0</v>
      </c>
      <c r="R117" s="3">
        <f t="shared" si="58"/>
        <v>0</v>
      </c>
      <c r="S117" s="3">
        <f t="shared" si="58"/>
        <v>-231.023726286618</v>
      </c>
      <c r="T117" s="3">
        <f t="shared" si="58"/>
        <v>505.16851455208098</v>
      </c>
      <c r="U117" s="3">
        <f t="shared" si="58"/>
        <v>0</v>
      </c>
      <c r="V117" s="3">
        <f t="shared" si="58"/>
        <v>-545.47832729936897</v>
      </c>
      <c r="X117" s="2">
        <f t="shared" si="25"/>
        <v>0.96701059092194119</v>
      </c>
    </row>
    <row r="118" spans="1:24" x14ac:dyDescent="0.2">
      <c r="A118">
        <v>6004</v>
      </c>
      <c r="B118">
        <v>43</v>
      </c>
      <c r="C118" s="3">
        <f t="shared" ref="C118:V118" si="59">+(C77-C37)</f>
        <v>0</v>
      </c>
      <c r="D118" s="3">
        <f t="shared" si="59"/>
        <v>0</v>
      </c>
      <c r="E118" s="3">
        <f t="shared" si="59"/>
        <v>0</v>
      </c>
      <c r="F118" s="3">
        <f t="shared" si="59"/>
        <v>0</v>
      </c>
      <c r="G118" s="3">
        <f t="shared" si="59"/>
        <v>0</v>
      </c>
      <c r="H118" s="3">
        <f t="shared" si="59"/>
        <v>0</v>
      </c>
      <c r="I118" s="3">
        <f t="shared" si="59"/>
        <v>269.09232112186288</v>
      </c>
      <c r="J118" s="3">
        <f t="shared" si="59"/>
        <v>0</v>
      </c>
      <c r="K118" s="3">
        <f t="shared" si="59"/>
        <v>-678.61305066972</v>
      </c>
      <c r="L118" s="3">
        <f t="shared" si="59"/>
        <v>0</v>
      </c>
      <c r="M118" s="3">
        <f t="shared" si="59"/>
        <v>-3341.81014634948</v>
      </c>
      <c r="N118" s="3">
        <f t="shared" si="59"/>
        <v>2183.9834687862799</v>
      </c>
      <c r="O118" s="3">
        <f t="shared" si="59"/>
        <v>1467.2456304136101</v>
      </c>
      <c r="P118" s="3">
        <f t="shared" si="59"/>
        <v>0</v>
      </c>
      <c r="Q118" s="3">
        <f t="shared" si="59"/>
        <v>0</v>
      </c>
      <c r="R118" s="3">
        <f t="shared" si="59"/>
        <v>0</v>
      </c>
      <c r="S118" s="3">
        <f t="shared" si="59"/>
        <v>-364.61099038725501</v>
      </c>
      <c r="T118" s="3">
        <f t="shared" si="59"/>
        <v>828.54992029918299</v>
      </c>
      <c r="U118" s="3">
        <f t="shared" si="59"/>
        <v>0</v>
      </c>
      <c r="V118" s="3">
        <f t="shared" si="59"/>
        <v>-485.20546478393101</v>
      </c>
      <c r="X118" s="2">
        <f t="shared" si="25"/>
        <v>-0.12136831156945016</v>
      </c>
    </row>
    <row r="119" spans="1:24" x14ac:dyDescent="0.2">
      <c r="A119">
        <v>6004</v>
      </c>
      <c r="B119">
        <v>44</v>
      </c>
      <c r="C119" s="3">
        <f t="shared" ref="C119:V119" si="60">+(C78-C38)</f>
        <v>0</v>
      </c>
      <c r="D119" s="3">
        <f t="shared" si="60"/>
        <v>0</v>
      </c>
      <c r="E119" s="3">
        <f t="shared" si="60"/>
        <v>0</v>
      </c>
      <c r="F119" s="3">
        <f t="shared" si="60"/>
        <v>0</v>
      </c>
      <c r="G119" s="3">
        <f t="shared" si="60"/>
        <v>0</v>
      </c>
      <c r="H119" s="3">
        <f t="shared" si="60"/>
        <v>0</v>
      </c>
      <c r="I119" s="3">
        <f t="shared" si="60"/>
        <v>-24.545590845254001</v>
      </c>
      <c r="J119" s="3">
        <f t="shared" si="60"/>
        <v>0</v>
      </c>
      <c r="K119" s="3">
        <f t="shared" si="60"/>
        <v>0</v>
      </c>
      <c r="L119" s="3">
        <f t="shared" si="60"/>
        <v>0</v>
      </c>
      <c r="M119" s="3">
        <f t="shared" si="60"/>
        <v>-1806.8418202958201</v>
      </c>
      <c r="N119" s="3">
        <f t="shared" si="60"/>
        <v>2026.9359228523399</v>
      </c>
      <c r="O119" s="3">
        <f t="shared" si="60"/>
        <v>-96.832480039569703</v>
      </c>
      <c r="P119" s="3">
        <f t="shared" si="60"/>
        <v>0</v>
      </c>
      <c r="Q119" s="3">
        <f t="shared" si="60"/>
        <v>0</v>
      </c>
      <c r="R119" s="3">
        <f t="shared" si="60"/>
        <v>0</v>
      </c>
      <c r="S119" s="3">
        <f t="shared" si="60"/>
        <v>-366.76568906766499</v>
      </c>
      <c r="T119" s="3">
        <f t="shared" si="60"/>
        <v>-446.67628548065898</v>
      </c>
      <c r="U119" s="3">
        <f t="shared" si="60"/>
        <v>0</v>
      </c>
      <c r="V119" s="3">
        <f t="shared" si="60"/>
        <v>-540.32875410602298</v>
      </c>
      <c r="X119" s="2">
        <f t="shared" si="25"/>
        <v>-1.255054696982651</v>
      </c>
    </row>
    <row r="120" spans="1:24" x14ac:dyDescent="0.2">
      <c r="A120">
        <v>6004</v>
      </c>
      <c r="B120">
        <v>45</v>
      </c>
      <c r="C120" s="3">
        <f t="shared" ref="C120:V120" si="61">+(C79-C39)</f>
        <v>0</v>
      </c>
      <c r="D120" s="3">
        <f t="shared" si="61"/>
        <v>0</v>
      </c>
      <c r="E120" s="3">
        <f t="shared" si="61"/>
        <v>0</v>
      </c>
      <c r="F120" s="3">
        <f t="shared" si="61"/>
        <v>0</v>
      </c>
      <c r="G120" s="3">
        <f t="shared" si="61"/>
        <v>0</v>
      </c>
      <c r="H120" s="3">
        <f t="shared" si="61"/>
        <v>0</v>
      </c>
      <c r="I120" s="3">
        <f t="shared" si="61"/>
        <v>92.069527740904306</v>
      </c>
      <c r="J120" s="3">
        <f t="shared" si="61"/>
        <v>0</v>
      </c>
      <c r="K120" s="3">
        <f t="shared" si="61"/>
        <v>0</v>
      </c>
      <c r="L120" s="3">
        <f t="shared" si="61"/>
        <v>0</v>
      </c>
      <c r="M120" s="3">
        <f t="shared" si="61"/>
        <v>-2725.27103808418</v>
      </c>
      <c r="N120" s="3">
        <f t="shared" si="61"/>
        <v>28002.772958729402</v>
      </c>
      <c r="O120" s="3">
        <f t="shared" si="61"/>
        <v>3368.307758687879</v>
      </c>
      <c r="P120" s="3">
        <f t="shared" si="61"/>
        <v>0</v>
      </c>
      <c r="Q120" s="3">
        <f t="shared" si="61"/>
        <v>0</v>
      </c>
      <c r="R120" s="3">
        <f t="shared" si="61"/>
        <v>0</v>
      </c>
      <c r="S120" s="3">
        <f t="shared" si="61"/>
        <v>-370.550234537618</v>
      </c>
      <c r="T120" s="3">
        <f t="shared" si="61"/>
        <v>9110.1720202153265</v>
      </c>
      <c r="U120" s="3">
        <f t="shared" si="61"/>
        <v>0</v>
      </c>
      <c r="V120" s="3">
        <f t="shared" si="61"/>
        <v>-1284.1638455111399</v>
      </c>
      <c r="X120" s="2">
        <f t="shared" si="25"/>
        <v>36.19333714724057</v>
      </c>
    </row>
    <row r="121" spans="1:24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X121" s="1"/>
    </row>
    <row r="122" spans="1:24" x14ac:dyDescent="0.2">
      <c r="C122" s="3">
        <f t="shared" ref="C122" si="62">+SUM(C83:C120)</f>
        <v>0</v>
      </c>
      <c r="D122" s="3">
        <f t="shared" ref="D122" si="63">+SUM(D83:D120)</f>
        <v>0</v>
      </c>
      <c r="E122" s="3">
        <f t="shared" ref="E122" si="64">+SUM(E83:E120)</f>
        <v>0</v>
      </c>
      <c r="F122" s="3">
        <f t="shared" ref="F122" si="65">+SUM(F83:F120)</f>
        <v>0</v>
      </c>
      <c r="G122" s="3">
        <f t="shared" ref="G122" si="66">+SUM(G83:G120)</f>
        <v>0</v>
      </c>
      <c r="H122" s="3">
        <f t="shared" ref="H122" si="67">+SUM(H83:H120)</f>
        <v>0</v>
      </c>
      <c r="I122" s="3">
        <f>+SUM(I83:I120)</f>
        <v>2932.7740092751797</v>
      </c>
      <c r="J122" s="3">
        <f t="shared" ref="J122" si="68">+SUM(J83:J120)</f>
        <v>0</v>
      </c>
      <c r="K122" s="3">
        <f t="shared" ref="K122" si="69">+SUM(K83:K120)</f>
        <v>-15519.795081006818</v>
      </c>
      <c r="L122" s="3">
        <f t="shared" ref="L122" si="70">+SUM(L83:L120)</f>
        <v>0</v>
      </c>
      <c r="M122" s="3">
        <f>+SUM(M83:M120)</f>
        <v>-61029.028387655555</v>
      </c>
      <c r="N122" s="3">
        <f t="shared" ref="N122" si="71">+SUM(N83:N120)</f>
        <v>116324.07060406904</v>
      </c>
      <c r="O122" s="3">
        <f t="shared" ref="O122" si="72">+SUM(O83:O120)</f>
        <v>14446.95558643022</v>
      </c>
      <c r="P122" s="3">
        <f t="shared" ref="P122" si="73">+SUM(P83:P120)</f>
        <v>-12379.050535805764</v>
      </c>
      <c r="Q122" s="3">
        <f t="shared" ref="Q122" si="74">+SUM(Q83:Q120)</f>
        <v>217.40926602027002</v>
      </c>
      <c r="R122" s="3">
        <f t="shared" ref="R122" si="75">+SUM(R83:R120)</f>
        <v>0</v>
      </c>
      <c r="S122" s="3">
        <f t="shared" ref="S122" si="76">+SUM(S83:S120)</f>
        <v>-15500.130743768366</v>
      </c>
      <c r="T122" s="3">
        <f t="shared" ref="T122" si="77">+SUM(T83:T120)</f>
        <v>23769.484018678784</v>
      </c>
      <c r="U122" s="3">
        <f t="shared" ref="U122" si="78">+SUM(U83:U120)</f>
        <v>-311.15301856044636</v>
      </c>
      <c r="V122" s="3">
        <f t="shared" ref="V122" si="79">+SUM(V83:V120)</f>
        <v>21837.121178425728</v>
      </c>
      <c r="W122" s="3"/>
      <c r="X122" s="2">
        <f>+SUM(X83:X120)</f>
        <v>74.788656896102282</v>
      </c>
    </row>
    <row r="126" spans="1:24" x14ac:dyDescent="0.2">
      <c r="A126">
        <v>6005</v>
      </c>
      <c r="B126">
        <v>8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9.0939510815845004E-2</v>
      </c>
      <c r="J126">
        <v>0</v>
      </c>
      <c r="K126">
        <v>0</v>
      </c>
      <c r="L126">
        <v>0</v>
      </c>
      <c r="M126">
        <v>2117.8583628678298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51.902558237164698</v>
      </c>
      <c r="V126">
        <v>0</v>
      </c>
    </row>
    <row r="127" spans="1:24" x14ac:dyDescent="0.2">
      <c r="A127">
        <v>6005</v>
      </c>
      <c r="B127">
        <v>9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8.4500275738988204E-2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926.70728150983302</v>
      </c>
      <c r="U127">
        <v>40.998840845540997</v>
      </c>
      <c r="V127">
        <v>1130.74590216664</v>
      </c>
    </row>
    <row r="128" spans="1:24" x14ac:dyDescent="0.2">
      <c r="A128">
        <v>6005</v>
      </c>
      <c r="B128">
        <v>10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0.15827755924377401</v>
      </c>
      <c r="J128">
        <v>0</v>
      </c>
      <c r="K128">
        <v>0</v>
      </c>
      <c r="L128">
        <v>0</v>
      </c>
      <c r="M128">
        <v>2774.0402116535001</v>
      </c>
      <c r="N128">
        <v>0</v>
      </c>
      <c r="O128">
        <v>0</v>
      </c>
      <c r="P128">
        <v>0</v>
      </c>
      <c r="Q128">
        <v>5716.5253550094203</v>
      </c>
      <c r="R128">
        <v>0</v>
      </c>
      <c r="S128">
        <v>0</v>
      </c>
      <c r="T128">
        <v>147.19362854648301</v>
      </c>
      <c r="U128">
        <v>28.476362316652899</v>
      </c>
      <c r="V128">
        <v>131.37216683514399</v>
      </c>
    </row>
    <row r="129" spans="1:22" x14ac:dyDescent="0.2">
      <c r="A129">
        <v>6005</v>
      </c>
      <c r="B129">
        <v>11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15.5761399242782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1721.6516757381</v>
      </c>
      <c r="U129">
        <v>0</v>
      </c>
      <c r="V129">
        <v>2245.38443713165</v>
      </c>
    </row>
    <row r="130" spans="1:22" x14ac:dyDescent="0.2">
      <c r="A130">
        <v>6005</v>
      </c>
      <c r="B130">
        <v>12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17.512375722593301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254.11887782696201</v>
      </c>
      <c r="P130">
        <v>0</v>
      </c>
      <c r="Q130">
        <v>0</v>
      </c>
      <c r="R130">
        <v>0</v>
      </c>
      <c r="S130">
        <v>0</v>
      </c>
      <c r="T130">
        <v>1699.69270180696</v>
      </c>
      <c r="U130">
        <v>0</v>
      </c>
      <c r="V130">
        <v>382.61086664187798</v>
      </c>
    </row>
    <row r="131" spans="1:22" x14ac:dyDescent="0.2">
      <c r="A131">
        <v>6005</v>
      </c>
      <c r="B131">
        <v>13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21.841417907883301</v>
      </c>
      <c r="J131">
        <v>0</v>
      </c>
      <c r="K131">
        <v>0</v>
      </c>
      <c r="L131">
        <v>0</v>
      </c>
      <c r="M131">
        <v>1543.76655291667</v>
      </c>
      <c r="N131">
        <v>0</v>
      </c>
      <c r="O131">
        <v>1514.7406754050901</v>
      </c>
      <c r="P131">
        <v>0</v>
      </c>
      <c r="Q131">
        <v>0</v>
      </c>
      <c r="R131">
        <v>0</v>
      </c>
      <c r="S131">
        <v>0</v>
      </c>
      <c r="T131">
        <v>1635.3179436314299</v>
      </c>
      <c r="U131">
        <v>0</v>
      </c>
      <c r="V131">
        <v>1512.4043859564599</v>
      </c>
    </row>
    <row r="132" spans="1:22" x14ac:dyDescent="0.2">
      <c r="A132">
        <v>6005</v>
      </c>
      <c r="B132">
        <v>14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29.873415064548301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1673.0511341884301</v>
      </c>
      <c r="U132">
        <v>0</v>
      </c>
      <c r="V132">
        <v>903.27901454845403</v>
      </c>
    </row>
    <row r="133" spans="1:22" x14ac:dyDescent="0.2">
      <c r="A133">
        <v>6005</v>
      </c>
      <c r="B133">
        <v>15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33.634040325944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3348.05343559009</v>
      </c>
      <c r="U133">
        <v>0</v>
      </c>
      <c r="V133">
        <v>0</v>
      </c>
    </row>
    <row r="134" spans="1:22" x14ac:dyDescent="0.2">
      <c r="A134">
        <v>6005</v>
      </c>
      <c r="B134">
        <v>16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37.587430071390997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3438.6001852028699</v>
      </c>
      <c r="U134">
        <v>0</v>
      </c>
      <c r="V134">
        <v>0</v>
      </c>
    </row>
    <row r="135" spans="1:22" x14ac:dyDescent="0.2">
      <c r="A135">
        <v>6005</v>
      </c>
      <c r="B135">
        <v>17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41.795041937759002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8.4809862579742195</v>
      </c>
      <c r="U135">
        <v>0</v>
      </c>
      <c r="V135">
        <v>2020.20293836424</v>
      </c>
    </row>
    <row r="136" spans="1:22" x14ac:dyDescent="0.2">
      <c r="A136">
        <v>6005</v>
      </c>
      <c r="B136">
        <v>18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46.196281216373599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2238.5629935193601</v>
      </c>
    </row>
    <row r="137" spans="1:22" x14ac:dyDescent="0.2">
      <c r="A137">
        <v>6005</v>
      </c>
      <c r="B137">
        <v>19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50.772348308295498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1778.07836023748</v>
      </c>
      <c r="U137">
        <v>0</v>
      </c>
      <c r="V137">
        <v>1117.9655378724799</v>
      </c>
    </row>
    <row r="138" spans="1:22" x14ac:dyDescent="0.2">
      <c r="A138">
        <v>6005</v>
      </c>
      <c r="B138">
        <v>20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55.510409121006802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1744.9673424595401</v>
      </c>
      <c r="U138">
        <v>0</v>
      </c>
      <c r="V138">
        <v>3321.3048166773701</v>
      </c>
    </row>
    <row r="139" spans="1:22" x14ac:dyDescent="0.2">
      <c r="A139">
        <v>6005</v>
      </c>
      <c r="B139">
        <v>21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60.260973243066204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1805.7017348079601</v>
      </c>
      <c r="U139">
        <v>0</v>
      </c>
      <c r="V139">
        <v>1366.0041510677599</v>
      </c>
    </row>
    <row r="140" spans="1:22" x14ac:dyDescent="0.2">
      <c r="A140">
        <v>6005</v>
      </c>
      <c r="B140">
        <v>22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66.070045006364495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1838.9246917686901</v>
      </c>
      <c r="U140">
        <v>0</v>
      </c>
      <c r="V140">
        <v>1499.71746936761</v>
      </c>
    </row>
    <row r="141" spans="1:22" x14ac:dyDescent="0.2">
      <c r="A141">
        <v>6005</v>
      </c>
      <c r="B141">
        <v>23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62.805433158453198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1874.17960352825</v>
      </c>
      <c r="U141">
        <v>0</v>
      </c>
      <c r="V141">
        <v>2111.6789269795599</v>
      </c>
    </row>
    <row r="142" spans="1:22" x14ac:dyDescent="0.2">
      <c r="A142">
        <v>6005</v>
      </c>
      <c r="B142">
        <v>24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66.508977788876095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2293.4008780725399</v>
      </c>
      <c r="U142">
        <v>0</v>
      </c>
      <c r="V142">
        <v>1974.6478692491901</v>
      </c>
    </row>
    <row r="143" spans="1:22" x14ac:dyDescent="0.2">
      <c r="A143">
        <v>6005</v>
      </c>
      <c r="B143">
        <v>25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193.726943999513</v>
      </c>
      <c r="J143">
        <v>0</v>
      </c>
      <c r="K143">
        <v>0</v>
      </c>
      <c r="L143">
        <v>0</v>
      </c>
      <c r="M143">
        <v>11287.198914746599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1952.6469668172099</v>
      </c>
      <c r="U143">
        <v>0</v>
      </c>
      <c r="V143">
        <v>7255.23923596853</v>
      </c>
    </row>
    <row r="144" spans="1:22" x14ac:dyDescent="0.2">
      <c r="A144">
        <v>6005</v>
      </c>
      <c r="B144">
        <v>26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681.99833678290202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2292.5871683811301</v>
      </c>
      <c r="U144">
        <v>0</v>
      </c>
      <c r="V144">
        <v>1848.21940188338</v>
      </c>
    </row>
    <row r="145" spans="1:22" x14ac:dyDescent="0.2">
      <c r="A145">
        <v>6005</v>
      </c>
      <c r="B145">
        <v>27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81.321271816364003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2375.7837455694398</v>
      </c>
      <c r="U145">
        <v>0</v>
      </c>
      <c r="V145">
        <v>1239.83994981256</v>
      </c>
    </row>
    <row r="146" spans="1:22" x14ac:dyDescent="0.2">
      <c r="A146">
        <v>6005</v>
      </c>
      <c r="B146">
        <v>28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123.217426956081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2444.45829174653</v>
      </c>
      <c r="U146">
        <v>243.11777343549599</v>
      </c>
      <c r="V146">
        <v>108.66624930612799</v>
      </c>
    </row>
    <row r="147" spans="1:22" x14ac:dyDescent="0.2">
      <c r="A147">
        <v>6005</v>
      </c>
      <c r="B147">
        <v>29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212.50163883146601</v>
      </c>
      <c r="J147">
        <v>0</v>
      </c>
      <c r="K147">
        <v>4194.6528227938097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320.13364982801801</v>
      </c>
      <c r="R147">
        <v>0</v>
      </c>
      <c r="S147">
        <v>0</v>
      </c>
      <c r="T147">
        <v>3941.7893081358502</v>
      </c>
      <c r="U147">
        <v>565.91155147876805</v>
      </c>
      <c r="V147">
        <v>2052.3871074193298</v>
      </c>
    </row>
    <row r="148" spans="1:22" x14ac:dyDescent="0.2">
      <c r="A148">
        <v>6005</v>
      </c>
      <c r="B148">
        <v>30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106.287962516105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2768.1902919772601</v>
      </c>
      <c r="R148">
        <v>0</v>
      </c>
      <c r="S148">
        <v>0</v>
      </c>
      <c r="T148">
        <v>4450.5661707444897</v>
      </c>
      <c r="U148">
        <v>290.217571888549</v>
      </c>
      <c r="V148">
        <v>3883.3725992510699</v>
      </c>
    </row>
    <row r="149" spans="1:22" x14ac:dyDescent="0.2">
      <c r="A149">
        <v>6005</v>
      </c>
      <c r="B149">
        <v>31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157.45471792782101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187.834922805883</v>
      </c>
      <c r="R149">
        <v>0</v>
      </c>
      <c r="S149">
        <v>0</v>
      </c>
      <c r="T149">
        <v>3466.11017761426</v>
      </c>
      <c r="U149">
        <v>109.165850002798</v>
      </c>
      <c r="V149">
        <v>2350.8222457383799</v>
      </c>
    </row>
    <row r="150" spans="1:22" x14ac:dyDescent="0.2">
      <c r="A150">
        <v>6005</v>
      </c>
      <c r="B150">
        <v>32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227.681919441139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545.90251859534101</v>
      </c>
      <c r="R150">
        <v>0</v>
      </c>
      <c r="S150">
        <v>0</v>
      </c>
      <c r="T150">
        <v>4556.8010929617603</v>
      </c>
      <c r="U150">
        <v>0</v>
      </c>
      <c r="V150">
        <v>783.87502136244495</v>
      </c>
    </row>
    <row r="151" spans="1:22" x14ac:dyDescent="0.2">
      <c r="A151">
        <v>6005</v>
      </c>
      <c r="B151">
        <v>33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148.99428313984799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4539.6424777147804</v>
      </c>
      <c r="U151">
        <v>0</v>
      </c>
      <c r="V151">
        <v>3337.1215797602599</v>
      </c>
    </row>
    <row r="152" spans="1:22" x14ac:dyDescent="0.2">
      <c r="A152">
        <v>6005</v>
      </c>
      <c r="B152">
        <v>34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161.29144285560801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4702.0059204667896</v>
      </c>
      <c r="U152">
        <v>0</v>
      </c>
      <c r="V152">
        <v>1156.68071141682</v>
      </c>
    </row>
    <row r="153" spans="1:22" x14ac:dyDescent="0.2">
      <c r="A153">
        <v>6005</v>
      </c>
      <c r="B153">
        <v>35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169.38355228088599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4112.8239753277903</v>
      </c>
      <c r="U153">
        <v>0</v>
      </c>
      <c r="V153">
        <v>2387.35130689178</v>
      </c>
    </row>
    <row r="154" spans="1:22" x14ac:dyDescent="0.2">
      <c r="A154">
        <v>6005</v>
      </c>
      <c r="B154">
        <v>36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173.25730943004899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4003.66199132364</v>
      </c>
      <c r="U154">
        <v>0</v>
      </c>
      <c r="V154">
        <v>2030.4619511441799</v>
      </c>
    </row>
    <row r="155" spans="1:22" x14ac:dyDescent="0.2">
      <c r="A155">
        <v>6005</v>
      </c>
      <c r="B155">
        <v>37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181.09638197949101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6006.4374660370304</v>
      </c>
      <c r="U155">
        <v>0</v>
      </c>
      <c r="V155">
        <v>5693.4993038922803</v>
      </c>
    </row>
    <row r="156" spans="1:22" x14ac:dyDescent="0.2">
      <c r="A156">
        <v>6005</v>
      </c>
      <c r="B156">
        <v>38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188.89721001668599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4678.5440229900496</v>
      </c>
      <c r="U156">
        <v>0</v>
      </c>
      <c r="V156">
        <v>10635.092483492301</v>
      </c>
    </row>
    <row r="157" spans="1:22" x14ac:dyDescent="0.2">
      <c r="A157">
        <v>6005</v>
      </c>
      <c r="B157">
        <v>39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196.85094021872899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5446.0092652684898</v>
      </c>
      <c r="U157">
        <v>0</v>
      </c>
      <c r="V157">
        <v>206.28984688736699</v>
      </c>
    </row>
    <row r="158" spans="1:22" x14ac:dyDescent="0.2">
      <c r="A158">
        <v>6005</v>
      </c>
      <c r="B158">
        <v>40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204.70384074818099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5716.5253550094203</v>
      </c>
      <c r="R158">
        <v>0</v>
      </c>
      <c r="S158">
        <v>0</v>
      </c>
      <c r="T158">
        <v>4908.3682135932404</v>
      </c>
      <c r="U158">
        <v>0</v>
      </c>
      <c r="V158">
        <v>2240.28746371749</v>
      </c>
    </row>
    <row r="159" spans="1:22" x14ac:dyDescent="0.2">
      <c r="A159">
        <v>6005</v>
      </c>
      <c r="B159">
        <v>41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212.549811841696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5666.0479144643496</v>
      </c>
      <c r="U159">
        <v>0</v>
      </c>
      <c r="V159">
        <v>307.34651690701702</v>
      </c>
    </row>
    <row r="160" spans="1:22" x14ac:dyDescent="0.2">
      <c r="A160">
        <v>6005</v>
      </c>
      <c r="B160">
        <v>42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221.59982307403499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5561.4160982609701</v>
      </c>
      <c r="U160">
        <v>0</v>
      </c>
      <c r="V160">
        <v>440.22215979406798</v>
      </c>
    </row>
    <row r="161" spans="1:24" x14ac:dyDescent="0.2">
      <c r="A161">
        <v>6005</v>
      </c>
      <c r="B161">
        <v>43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221.593866637921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5416.3032950593697</v>
      </c>
      <c r="U161">
        <v>0</v>
      </c>
      <c r="V161">
        <v>1270.6360008644201</v>
      </c>
    </row>
    <row r="162" spans="1:24" x14ac:dyDescent="0.2">
      <c r="A162">
        <v>6005</v>
      </c>
      <c r="B162">
        <v>44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228.75468254579599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5395.3905604359197</v>
      </c>
      <c r="U162">
        <v>0</v>
      </c>
      <c r="V162">
        <v>740.57072575784798</v>
      </c>
    </row>
    <row r="163" spans="1:24" x14ac:dyDescent="0.2">
      <c r="A163">
        <v>6005</v>
      </c>
      <c r="B163">
        <v>45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</row>
    <row r="167" spans="1:24" x14ac:dyDescent="0.2">
      <c r="A167">
        <v>6004</v>
      </c>
      <c r="B167">
        <v>8</v>
      </c>
      <c r="C167" s="3">
        <f>+(C126-C86)</f>
        <v>0</v>
      </c>
      <c r="D167" s="3">
        <f t="shared" ref="D167:H167" si="80">+(D126-D86)</f>
        <v>0</v>
      </c>
      <c r="E167" s="3">
        <f t="shared" si="80"/>
        <v>0</v>
      </c>
      <c r="F167" s="3">
        <f t="shared" si="80"/>
        <v>0</v>
      </c>
      <c r="G167" s="3">
        <f t="shared" si="80"/>
        <v>0</v>
      </c>
      <c r="H167" s="3">
        <f t="shared" si="80"/>
        <v>0</v>
      </c>
      <c r="I167" s="3">
        <f>+(I126-I2)</f>
        <v>3.5615053575628906E-2</v>
      </c>
      <c r="J167" s="3">
        <f t="shared" ref="J167:V167" si="81">+(J126-J2)</f>
        <v>0</v>
      </c>
      <c r="K167" s="3">
        <f t="shared" si="81"/>
        <v>0</v>
      </c>
      <c r="L167" s="3">
        <f t="shared" si="81"/>
        <v>0</v>
      </c>
      <c r="M167" s="3">
        <f t="shared" si="81"/>
        <v>149.72288956138982</v>
      </c>
      <c r="N167" s="3">
        <f t="shared" si="81"/>
        <v>0</v>
      </c>
      <c r="O167" s="3">
        <f t="shared" si="81"/>
        <v>0</v>
      </c>
      <c r="P167" s="3">
        <f t="shared" si="81"/>
        <v>0</v>
      </c>
      <c r="Q167" s="3">
        <f t="shared" si="81"/>
        <v>0</v>
      </c>
      <c r="R167" s="3">
        <f t="shared" si="81"/>
        <v>0</v>
      </c>
      <c r="S167" s="3">
        <f t="shared" si="81"/>
        <v>0</v>
      </c>
      <c r="T167" s="3">
        <f t="shared" si="81"/>
        <v>0</v>
      </c>
      <c r="U167" s="3">
        <f t="shared" si="81"/>
        <v>0.53226954274190064</v>
      </c>
      <c r="V167" s="3">
        <f t="shared" si="81"/>
        <v>0</v>
      </c>
      <c r="X167" s="2">
        <f>+(SUM(C167:V167)*1000000)/1000000000</f>
        <v>0.15029077415770734</v>
      </c>
    </row>
    <row r="168" spans="1:24" x14ac:dyDescent="0.2">
      <c r="A168">
        <v>6004</v>
      </c>
      <c r="B168">
        <v>9</v>
      </c>
      <c r="C168" s="3">
        <f t="shared" ref="C168:H168" si="82">+(C127-C87)</f>
        <v>0</v>
      </c>
      <c r="D168" s="3">
        <f t="shared" si="82"/>
        <v>0</v>
      </c>
      <c r="E168" s="3">
        <f t="shared" si="82"/>
        <v>0</v>
      </c>
      <c r="F168" s="3">
        <f t="shared" si="82"/>
        <v>0</v>
      </c>
      <c r="G168" s="3">
        <f t="shared" si="82"/>
        <v>0</v>
      </c>
      <c r="H168" s="3">
        <f t="shared" si="82"/>
        <v>0</v>
      </c>
      <c r="I168" s="3">
        <f t="shared" ref="I168:V168" si="83">+(I127-I3)</f>
        <v>3.63736632957199E-2</v>
      </c>
      <c r="J168" s="3">
        <f t="shared" si="83"/>
        <v>0</v>
      </c>
      <c r="K168" s="3">
        <f t="shared" si="83"/>
        <v>0</v>
      </c>
      <c r="L168" s="3">
        <f t="shared" si="83"/>
        <v>0</v>
      </c>
      <c r="M168" s="3">
        <f t="shared" si="83"/>
        <v>0</v>
      </c>
      <c r="N168" s="3">
        <f t="shared" si="83"/>
        <v>0</v>
      </c>
      <c r="O168" s="3">
        <f t="shared" si="83"/>
        <v>0</v>
      </c>
      <c r="P168" s="3">
        <f t="shared" si="83"/>
        <v>0</v>
      </c>
      <c r="Q168" s="3">
        <f t="shared" si="83"/>
        <v>0</v>
      </c>
      <c r="R168" s="3">
        <f t="shared" si="83"/>
        <v>0</v>
      </c>
      <c r="S168" s="3">
        <f t="shared" si="83"/>
        <v>0</v>
      </c>
      <c r="T168" s="3">
        <f t="shared" si="83"/>
        <v>89.187697960187052</v>
      </c>
      <c r="U168" s="3">
        <f t="shared" si="83"/>
        <v>0.54416140377259836</v>
      </c>
      <c r="V168" s="3">
        <f t="shared" si="83"/>
        <v>48.792001736100019</v>
      </c>
      <c r="X168" s="2">
        <f t="shared" ref="X168:X204" si="84">+(SUM(C168:V168)*1000000)/1000000000</f>
        <v>0.13856023476335541</v>
      </c>
    </row>
    <row r="169" spans="1:24" x14ac:dyDescent="0.2">
      <c r="A169">
        <v>6004</v>
      </c>
      <c r="B169">
        <v>10</v>
      </c>
      <c r="C169" s="3">
        <f t="shared" ref="C169:H169" si="85">+(C128-C88)</f>
        <v>0</v>
      </c>
      <c r="D169" s="3">
        <f t="shared" si="85"/>
        <v>0</v>
      </c>
      <c r="E169" s="3">
        <f t="shared" si="85"/>
        <v>0</v>
      </c>
      <c r="F169" s="3">
        <f t="shared" si="85"/>
        <v>0</v>
      </c>
      <c r="G169" s="3">
        <f t="shared" si="85"/>
        <v>0</v>
      </c>
      <c r="H169" s="3">
        <f t="shared" si="85"/>
        <v>0</v>
      </c>
      <c r="I169" s="3">
        <f t="shared" ref="I169:V169" si="86">+(I128-I4)</f>
        <v>0.11756297549191691</v>
      </c>
      <c r="J169" s="3">
        <f t="shared" si="86"/>
        <v>0</v>
      </c>
      <c r="K169" s="3">
        <f t="shared" si="86"/>
        <v>0</v>
      </c>
      <c r="L169" s="3">
        <f t="shared" si="86"/>
        <v>0</v>
      </c>
      <c r="M169" s="3">
        <f t="shared" si="86"/>
        <v>263.34390348826992</v>
      </c>
      <c r="N169" s="3">
        <f t="shared" si="86"/>
        <v>0</v>
      </c>
      <c r="O169" s="3">
        <f t="shared" si="86"/>
        <v>0</v>
      </c>
      <c r="P169" s="3">
        <f t="shared" si="86"/>
        <v>0</v>
      </c>
      <c r="Q169" s="3">
        <f t="shared" si="86"/>
        <v>121.21665729245069</v>
      </c>
      <c r="R169" s="3">
        <f t="shared" si="86"/>
        <v>0</v>
      </c>
      <c r="S169" s="3">
        <f t="shared" si="86"/>
        <v>0</v>
      </c>
      <c r="T169" s="3">
        <f t="shared" si="86"/>
        <v>78.211102266169519</v>
      </c>
      <c r="U169" s="3">
        <f t="shared" si="86"/>
        <v>0.55214437892709967</v>
      </c>
      <c r="V169" s="3">
        <f t="shared" si="86"/>
        <v>24.196890860608988</v>
      </c>
      <c r="X169" s="2">
        <f t="shared" si="84"/>
        <v>0.48763826126191817</v>
      </c>
    </row>
    <row r="170" spans="1:24" x14ac:dyDescent="0.2">
      <c r="A170">
        <v>6004</v>
      </c>
      <c r="B170">
        <v>11</v>
      </c>
      <c r="C170" s="3">
        <f t="shared" ref="C170:H170" si="87">+(C129-C89)</f>
        <v>0</v>
      </c>
      <c r="D170" s="3">
        <f t="shared" si="87"/>
        <v>0</v>
      </c>
      <c r="E170" s="3">
        <f t="shared" si="87"/>
        <v>0</v>
      </c>
      <c r="F170" s="3">
        <f t="shared" si="87"/>
        <v>0</v>
      </c>
      <c r="G170" s="3">
        <f t="shared" si="87"/>
        <v>0</v>
      </c>
      <c r="H170" s="3">
        <f t="shared" si="87"/>
        <v>0</v>
      </c>
      <c r="I170" s="3">
        <f t="shared" ref="I170:V170" si="88">+(I129-I5)</f>
        <v>11.897637053866919</v>
      </c>
      <c r="J170" s="3">
        <f t="shared" si="88"/>
        <v>0</v>
      </c>
      <c r="K170" s="3">
        <f t="shared" si="88"/>
        <v>0</v>
      </c>
      <c r="L170" s="3">
        <f t="shared" si="88"/>
        <v>0</v>
      </c>
      <c r="M170" s="3">
        <f t="shared" si="88"/>
        <v>-273.78163329244001</v>
      </c>
      <c r="N170" s="3">
        <f t="shared" si="88"/>
        <v>0</v>
      </c>
      <c r="O170" s="3">
        <f t="shared" si="88"/>
        <v>-361.048940910537</v>
      </c>
      <c r="P170" s="3">
        <f t="shared" si="88"/>
        <v>0</v>
      </c>
      <c r="Q170" s="3">
        <f t="shared" si="88"/>
        <v>0</v>
      </c>
      <c r="R170" s="3">
        <f t="shared" si="88"/>
        <v>0</v>
      </c>
      <c r="S170" s="3">
        <f t="shared" si="88"/>
        <v>0</v>
      </c>
      <c r="T170" s="3">
        <f t="shared" si="88"/>
        <v>1666.2635204020646</v>
      </c>
      <c r="U170" s="3">
        <f t="shared" si="88"/>
        <v>0</v>
      </c>
      <c r="V170" s="3">
        <f t="shared" si="88"/>
        <v>1296.1550023882201</v>
      </c>
      <c r="X170" s="2">
        <f t="shared" si="84"/>
        <v>2.3394855856411749</v>
      </c>
    </row>
    <row r="171" spans="1:24" x14ac:dyDescent="0.2">
      <c r="A171">
        <v>6004</v>
      </c>
      <c r="B171">
        <v>12</v>
      </c>
      <c r="C171" s="3">
        <f t="shared" ref="C171:H171" si="89">+(C130-C90)</f>
        <v>0</v>
      </c>
      <c r="D171" s="3">
        <f t="shared" si="89"/>
        <v>0</v>
      </c>
      <c r="E171" s="3">
        <f t="shared" si="89"/>
        <v>0</v>
      </c>
      <c r="F171" s="3">
        <f t="shared" si="89"/>
        <v>0</v>
      </c>
      <c r="G171" s="3">
        <f t="shared" si="89"/>
        <v>0</v>
      </c>
      <c r="H171" s="3">
        <f t="shared" si="89"/>
        <v>0</v>
      </c>
      <c r="I171" s="3">
        <f t="shared" ref="I171:V171" si="90">+(I130-I6)</f>
        <v>13.725090986390461</v>
      </c>
      <c r="J171" s="3">
        <f t="shared" si="90"/>
        <v>0</v>
      </c>
      <c r="K171" s="3">
        <f t="shared" si="90"/>
        <v>0</v>
      </c>
      <c r="L171" s="3">
        <f t="shared" si="90"/>
        <v>0</v>
      </c>
      <c r="M171" s="3">
        <f t="shared" si="90"/>
        <v>-904.54442029199799</v>
      </c>
      <c r="N171" s="3">
        <f t="shared" si="90"/>
        <v>0</v>
      </c>
      <c r="O171" s="3">
        <f t="shared" si="90"/>
        <v>254.11887782696201</v>
      </c>
      <c r="P171" s="3">
        <f t="shared" si="90"/>
        <v>0</v>
      </c>
      <c r="Q171" s="3">
        <f t="shared" si="90"/>
        <v>0</v>
      </c>
      <c r="R171" s="3">
        <f t="shared" si="90"/>
        <v>0</v>
      </c>
      <c r="S171" s="3">
        <f t="shared" si="90"/>
        <v>0</v>
      </c>
      <c r="T171" s="3">
        <f t="shared" si="90"/>
        <v>1699.69270180696</v>
      </c>
      <c r="U171" s="3">
        <f t="shared" si="90"/>
        <v>0</v>
      </c>
      <c r="V171" s="3">
        <f t="shared" si="90"/>
        <v>382.61086664187798</v>
      </c>
      <c r="X171" s="2">
        <f t="shared" si="84"/>
        <v>1.4456031169701926</v>
      </c>
    </row>
    <row r="172" spans="1:24" x14ac:dyDescent="0.2">
      <c r="A172">
        <v>6004</v>
      </c>
      <c r="B172">
        <v>13</v>
      </c>
      <c r="C172" s="3">
        <f t="shared" ref="C172:H172" si="91">+(C131-C91)</f>
        <v>0</v>
      </c>
      <c r="D172" s="3">
        <f t="shared" si="91"/>
        <v>0</v>
      </c>
      <c r="E172" s="3">
        <f t="shared" si="91"/>
        <v>0</v>
      </c>
      <c r="F172" s="3">
        <f t="shared" si="91"/>
        <v>0</v>
      </c>
      <c r="G172" s="3">
        <f t="shared" si="91"/>
        <v>0</v>
      </c>
      <c r="H172" s="3">
        <f t="shared" si="91"/>
        <v>0</v>
      </c>
      <c r="I172" s="3">
        <f t="shared" ref="I172:V172" si="92">+(I131-I7)</f>
        <v>17.946671755186031</v>
      </c>
      <c r="J172" s="3">
        <f t="shared" si="92"/>
        <v>0</v>
      </c>
      <c r="K172" s="3">
        <f t="shared" si="92"/>
        <v>0</v>
      </c>
      <c r="L172" s="3">
        <f t="shared" si="92"/>
        <v>0</v>
      </c>
      <c r="M172" s="3">
        <f t="shared" si="92"/>
        <v>-393.97398597549</v>
      </c>
      <c r="N172" s="3">
        <f t="shared" si="92"/>
        <v>0</v>
      </c>
      <c r="O172" s="3">
        <f t="shared" si="92"/>
        <v>-65.583899214619805</v>
      </c>
      <c r="P172" s="3">
        <f t="shared" si="92"/>
        <v>0</v>
      </c>
      <c r="Q172" s="3">
        <f t="shared" si="92"/>
        <v>0</v>
      </c>
      <c r="R172" s="3">
        <f t="shared" si="92"/>
        <v>0</v>
      </c>
      <c r="S172" s="3">
        <f t="shared" si="92"/>
        <v>0</v>
      </c>
      <c r="T172" s="3">
        <f t="shared" si="92"/>
        <v>1603.5949430392243</v>
      </c>
      <c r="U172" s="3">
        <f t="shared" si="92"/>
        <v>0</v>
      </c>
      <c r="V172" s="3">
        <f t="shared" si="92"/>
        <v>840.82725707096688</v>
      </c>
      <c r="X172" s="2">
        <f t="shared" si="84"/>
        <v>2.0028109866752675</v>
      </c>
    </row>
    <row r="173" spans="1:24" x14ac:dyDescent="0.2">
      <c r="A173">
        <v>6004</v>
      </c>
      <c r="B173">
        <v>14</v>
      </c>
      <c r="C173" s="3">
        <f t="shared" ref="C173:H173" si="93">+(C132-C92)</f>
        <v>0</v>
      </c>
      <c r="D173" s="3">
        <f t="shared" si="93"/>
        <v>0</v>
      </c>
      <c r="E173" s="3">
        <f t="shared" si="93"/>
        <v>0</v>
      </c>
      <c r="F173" s="3">
        <f t="shared" si="93"/>
        <v>0</v>
      </c>
      <c r="G173" s="3">
        <f t="shared" si="93"/>
        <v>0</v>
      </c>
      <c r="H173" s="3">
        <f t="shared" si="93"/>
        <v>0</v>
      </c>
      <c r="I173" s="3">
        <f t="shared" ref="I173:V173" si="94">+(I132-I8)</f>
        <v>25.837601698930801</v>
      </c>
      <c r="J173" s="3">
        <f t="shared" si="94"/>
        <v>0</v>
      </c>
      <c r="K173" s="3">
        <f t="shared" si="94"/>
        <v>0</v>
      </c>
      <c r="L173" s="3">
        <f t="shared" si="94"/>
        <v>0</v>
      </c>
      <c r="M173" s="3">
        <f t="shared" si="94"/>
        <v>-1392.0573124149601</v>
      </c>
      <c r="N173" s="3">
        <f t="shared" si="94"/>
        <v>0</v>
      </c>
      <c r="O173" s="3">
        <f t="shared" si="94"/>
        <v>-25.4837677761635</v>
      </c>
      <c r="P173" s="3">
        <f t="shared" si="94"/>
        <v>0</v>
      </c>
      <c r="Q173" s="3">
        <f t="shared" si="94"/>
        <v>0</v>
      </c>
      <c r="R173" s="3">
        <f t="shared" si="94"/>
        <v>0</v>
      </c>
      <c r="S173" s="3">
        <f t="shared" si="94"/>
        <v>0</v>
      </c>
      <c r="T173" s="3">
        <f t="shared" si="94"/>
        <v>1571.5612908641551</v>
      </c>
      <c r="U173" s="3">
        <f t="shared" si="94"/>
        <v>0</v>
      </c>
      <c r="V173" s="3">
        <f t="shared" si="94"/>
        <v>853.06707242519781</v>
      </c>
      <c r="X173" s="2">
        <f t="shared" si="84"/>
        <v>1.0329248847971602</v>
      </c>
    </row>
    <row r="174" spans="1:24" x14ac:dyDescent="0.2">
      <c r="A174">
        <v>6004</v>
      </c>
      <c r="B174">
        <v>15</v>
      </c>
      <c r="C174" s="3">
        <f t="shared" ref="C174:H174" si="95">+(C133-C93)</f>
        <v>0</v>
      </c>
      <c r="D174" s="3">
        <f t="shared" si="95"/>
        <v>0</v>
      </c>
      <c r="E174" s="3">
        <f t="shared" si="95"/>
        <v>0</v>
      </c>
      <c r="F174" s="3">
        <f t="shared" si="95"/>
        <v>0</v>
      </c>
      <c r="G174" s="3">
        <f t="shared" si="95"/>
        <v>0</v>
      </c>
      <c r="H174" s="3">
        <f t="shared" si="95"/>
        <v>0</v>
      </c>
      <c r="I174" s="3">
        <f t="shared" ref="I174:V174" si="96">+(I133-I9)</f>
        <v>29.423427376184819</v>
      </c>
      <c r="J174" s="3">
        <f t="shared" si="96"/>
        <v>0</v>
      </c>
      <c r="K174" s="3">
        <f t="shared" si="96"/>
        <v>0</v>
      </c>
      <c r="L174" s="3">
        <f t="shared" si="96"/>
        <v>0</v>
      </c>
      <c r="M174" s="3">
        <f t="shared" si="96"/>
        <v>-422.21833755960103</v>
      </c>
      <c r="N174" s="3">
        <f t="shared" si="96"/>
        <v>0</v>
      </c>
      <c r="O174" s="3">
        <f t="shared" si="96"/>
        <v>-27.299994607505699</v>
      </c>
      <c r="P174" s="3">
        <f t="shared" si="96"/>
        <v>0</v>
      </c>
      <c r="Q174" s="3">
        <f t="shared" si="96"/>
        <v>0</v>
      </c>
      <c r="R174" s="3">
        <f t="shared" si="96"/>
        <v>0</v>
      </c>
      <c r="S174" s="3">
        <f t="shared" si="96"/>
        <v>0</v>
      </c>
      <c r="T174" s="3">
        <f t="shared" si="96"/>
        <v>3011.2642649828458</v>
      </c>
      <c r="U174" s="3">
        <f t="shared" si="96"/>
        <v>0</v>
      </c>
      <c r="V174" s="3">
        <f t="shared" si="96"/>
        <v>0</v>
      </c>
      <c r="X174" s="2">
        <f t="shared" si="84"/>
        <v>2.5911693601919237</v>
      </c>
    </row>
    <row r="175" spans="1:24" x14ac:dyDescent="0.2">
      <c r="A175">
        <v>6004</v>
      </c>
      <c r="B175">
        <v>16</v>
      </c>
      <c r="C175" s="3">
        <f t="shared" ref="C175:H175" si="97">+(C134-C94)</f>
        <v>0</v>
      </c>
      <c r="D175" s="3">
        <f t="shared" si="97"/>
        <v>0</v>
      </c>
      <c r="E175" s="3">
        <f t="shared" si="97"/>
        <v>0</v>
      </c>
      <c r="F175" s="3">
        <f t="shared" si="97"/>
        <v>0</v>
      </c>
      <c r="G175" s="3">
        <f t="shared" si="97"/>
        <v>0</v>
      </c>
      <c r="H175" s="3">
        <f t="shared" si="97"/>
        <v>0</v>
      </c>
      <c r="I175" s="3">
        <f t="shared" ref="I175:V175" si="98">+(I134-I10)</f>
        <v>33.17341993827057</v>
      </c>
      <c r="J175" s="3">
        <f t="shared" si="98"/>
        <v>0</v>
      </c>
      <c r="K175" s="3">
        <f t="shared" si="98"/>
        <v>0</v>
      </c>
      <c r="L175" s="3">
        <f t="shared" si="98"/>
        <v>0</v>
      </c>
      <c r="M175" s="3">
        <f t="shared" si="98"/>
        <v>-444.991340923471</v>
      </c>
      <c r="N175" s="3">
        <f t="shared" si="98"/>
        <v>0</v>
      </c>
      <c r="O175" s="3">
        <f t="shared" si="98"/>
        <v>-88.261196052745802</v>
      </c>
      <c r="P175" s="3">
        <f t="shared" si="98"/>
        <v>0</v>
      </c>
      <c r="Q175" s="3">
        <f t="shared" si="98"/>
        <v>0</v>
      </c>
      <c r="R175" s="3">
        <f t="shared" si="98"/>
        <v>0</v>
      </c>
      <c r="S175" s="3">
        <f t="shared" si="98"/>
        <v>0</v>
      </c>
      <c r="T175" s="3">
        <f t="shared" si="98"/>
        <v>3085.5170622340188</v>
      </c>
      <c r="U175" s="3">
        <f t="shared" si="98"/>
        <v>0</v>
      </c>
      <c r="V175" s="3">
        <f t="shared" si="98"/>
        <v>0</v>
      </c>
      <c r="X175" s="2">
        <f t="shared" si="84"/>
        <v>2.5854379451960727</v>
      </c>
    </row>
    <row r="176" spans="1:24" x14ac:dyDescent="0.2">
      <c r="A176">
        <v>6004</v>
      </c>
      <c r="B176">
        <v>17</v>
      </c>
      <c r="C176" s="3">
        <f t="shared" ref="C176:H176" si="99">+(C135-C95)</f>
        <v>0</v>
      </c>
      <c r="D176" s="3">
        <f t="shared" si="99"/>
        <v>0</v>
      </c>
      <c r="E176" s="3">
        <f t="shared" si="99"/>
        <v>0</v>
      </c>
      <c r="F176" s="3">
        <f t="shared" si="99"/>
        <v>0</v>
      </c>
      <c r="G176" s="3">
        <f t="shared" si="99"/>
        <v>0</v>
      </c>
      <c r="H176" s="3">
        <f t="shared" si="99"/>
        <v>0</v>
      </c>
      <c r="I176" s="3">
        <f t="shared" ref="I176:V176" si="100">+(I135-I11)</f>
        <v>37.130946408945078</v>
      </c>
      <c r="J176" s="3">
        <f t="shared" si="100"/>
        <v>0</v>
      </c>
      <c r="K176" s="3">
        <f t="shared" si="100"/>
        <v>0</v>
      </c>
      <c r="L176" s="3">
        <f t="shared" si="100"/>
        <v>0</v>
      </c>
      <c r="M176" s="3">
        <f t="shared" si="100"/>
        <v>-1163.2566578332001</v>
      </c>
      <c r="N176" s="3">
        <f t="shared" si="100"/>
        <v>0</v>
      </c>
      <c r="O176" s="3">
        <f t="shared" si="100"/>
        <v>-30.683387134950799</v>
      </c>
      <c r="P176" s="3">
        <f t="shared" si="100"/>
        <v>0</v>
      </c>
      <c r="Q176" s="3">
        <f t="shared" si="100"/>
        <v>0</v>
      </c>
      <c r="R176" s="3">
        <f t="shared" si="100"/>
        <v>0</v>
      </c>
      <c r="S176" s="3">
        <f t="shared" si="100"/>
        <v>0</v>
      </c>
      <c r="T176" s="3">
        <f t="shared" si="100"/>
        <v>-322.26679321459875</v>
      </c>
      <c r="U176" s="3">
        <f t="shared" si="100"/>
        <v>0</v>
      </c>
      <c r="V176" s="3">
        <f t="shared" si="100"/>
        <v>2020.20293836424</v>
      </c>
      <c r="X176" s="2">
        <f t="shared" si="84"/>
        <v>0.54112704659043565</v>
      </c>
    </row>
    <row r="177" spans="1:24" x14ac:dyDescent="0.2">
      <c r="A177">
        <v>6004</v>
      </c>
      <c r="B177">
        <v>18</v>
      </c>
      <c r="C177" s="3">
        <f t="shared" ref="C177:H177" si="101">+(C136-C96)</f>
        <v>0</v>
      </c>
      <c r="D177" s="3">
        <f t="shared" si="101"/>
        <v>0</v>
      </c>
      <c r="E177" s="3">
        <f t="shared" si="101"/>
        <v>0</v>
      </c>
      <c r="F177" s="3">
        <f t="shared" si="101"/>
        <v>0</v>
      </c>
      <c r="G177" s="3">
        <f t="shared" si="101"/>
        <v>0</v>
      </c>
      <c r="H177" s="3">
        <f t="shared" si="101"/>
        <v>0</v>
      </c>
      <c r="I177" s="3">
        <f t="shared" ref="I177:V177" si="102">+(I136-I12)</f>
        <v>41.239894194473152</v>
      </c>
      <c r="J177" s="3">
        <f t="shared" si="102"/>
        <v>0</v>
      </c>
      <c r="K177" s="3">
        <f t="shared" si="102"/>
        <v>0</v>
      </c>
      <c r="L177" s="3">
        <f t="shared" si="102"/>
        <v>0</v>
      </c>
      <c r="M177" s="3">
        <f t="shared" si="102"/>
        <v>-2110.87830005767</v>
      </c>
      <c r="N177" s="3">
        <f t="shared" si="102"/>
        <v>0</v>
      </c>
      <c r="O177" s="3">
        <f t="shared" si="102"/>
        <v>-32.8716320988636</v>
      </c>
      <c r="P177" s="3">
        <f t="shared" si="102"/>
        <v>0</v>
      </c>
      <c r="Q177" s="3">
        <f t="shared" si="102"/>
        <v>0</v>
      </c>
      <c r="R177" s="3">
        <f t="shared" si="102"/>
        <v>0</v>
      </c>
      <c r="S177" s="3">
        <f t="shared" si="102"/>
        <v>0</v>
      </c>
      <c r="T177" s="3">
        <f t="shared" si="102"/>
        <v>-423.94963610170998</v>
      </c>
      <c r="U177" s="3">
        <f t="shared" si="102"/>
        <v>0</v>
      </c>
      <c r="V177" s="3">
        <f t="shared" si="102"/>
        <v>2206.1174013251957</v>
      </c>
      <c r="X177" s="2">
        <f t="shared" si="84"/>
        <v>-0.32034227273857502</v>
      </c>
    </row>
    <row r="178" spans="1:24" x14ac:dyDescent="0.2">
      <c r="A178">
        <v>6004</v>
      </c>
      <c r="B178">
        <v>19</v>
      </c>
      <c r="C178" s="3">
        <f t="shared" ref="C178:H178" si="103">+(C137-C97)</f>
        <v>0</v>
      </c>
      <c r="D178" s="3">
        <f t="shared" si="103"/>
        <v>0</v>
      </c>
      <c r="E178" s="3">
        <f t="shared" si="103"/>
        <v>0</v>
      </c>
      <c r="F178" s="3">
        <f t="shared" si="103"/>
        <v>0</v>
      </c>
      <c r="G178" s="3">
        <f t="shared" si="103"/>
        <v>0</v>
      </c>
      <c r="H178" s="3">
        <f t="shared" si="103"/>
        <v>0</v>
      </c>
      <c r="I178" s="3">
        <f t="shared" ref="I178:V178" si="104">+(I137-I13)</f>
        <v>45.480650600609607</v>
      </c>
      <c r="J178" s="3">
        <f t="shared" si="104"/>
        <v>0</v>
      </c>
      <c r="K178" s="3">
        <f t="shared" si="104"/>
        <v>0</v>
      </c>
      <c r="L178" s="3">
        <f t="shared" si="104"/>
        <v>0</v>
      </c>
      <c r="M178" s="3">
        <f t="shared" si="104"/>
        <v>-545.20256873383403</v>
      </c>
      <c r="N178" s="3">
        <f t="shared" si="104"/>
        <v>0</v>
      </c>
      <c r="O178" s="3">
        <f t="shared" si="104"/>
        <v>-34.985498847527403</v>
      </c>
      <c r="P178" s="3">
        <f t="shared" si="104"/>
        <v>0</v>
      </c>
      <c r="Q178" s="3">
        <f t="shared" si="104"/>
        <v>0</v>
      </c>
      <c r="R178" s="3">
        <f t="shared" si="104"/>
        <v>0</v>
      </c>
      <c r="S178" s="3">
        <f t="shared" si="104"/>
        <v>0</v>
      </c>
      <c r="T178" s="3">
        <f t="shared" si="104"/>
        <v>1726.360556504879</v>
      </c>
      <c r="U178" s="3">
        <f t="shared" si="104"/>
        <v>0</v>
      </c>
      <c r="V178" s="3">
        <f t="shared" si="104"/>
        <v>911.85597034415287</v>
      </c>
      <c r="X178" s="2">
        <f t="shared" si="84"/>
        <v>2.1035091098682801</v>
      </c>
    </row>
    <row r="179" spans="1:24" x14ac:dyDescent="0.2">
      <c r="A179">
        <v>6004</v>
      </c>
      <c r="B179">
        <v>20</v>
      </c>
      <c r="C179" s="3">
        <f t="shared" ref="C179:H179" si="105">+(C138-C98)</f>
        <v>0</v>
      </c>
      <c r="D179" s="3">
        <f t="shared" si="105"/>
        <v>0</v>
      </c>
      <c r="E179" s="3">
        <f t="shared" si="105"/>
        <v>0</v>
      </c>
      <c r="F179" s="3">
        <f t="shared" si="105"/>
        <v>0</v>
      </c>
      <c r="G179" s="3">
        <f t="shared" si="105"/>
        <v>0</v>
      </c>
      <c r="H179" s="3">
        <f t="shared" si="105"/>
        <v>0</v>
      </c>
      <c r="I179" s="3">
        <f t="shared" ref="I179:V179" si="106">+(I138-I14)</f>
        <v>49.840866552945201</v>
      </c>
      <c r="J179" s="3">
        <f t="shared" si="106"/>
        <v>0</v>
      </c>
      <c r="K179" s="3">
        <f t="shared" si="106"/>
        <v>0</v>
      </c>
      <c r="L179" s="3">
        <f t="shared" si="106"/>
        <v>0</v>
      </c>
      <c r="M179" s="3">
        <f t="shared" si="106"/>
        <v>-1450.6045580750399</v>
      </c>
      <c r="N179" s="3">
        <f t="shared" si="106"/>
        <v>0</v>
      </c>
      <c r="O179" s="3">
        <f t="shared" si="106"/>
        <v>-37.391016153903003</v>
      </c>
      <c r="P179" s="3">
        <f t="shared" si="106"/>
        <v>0</v>
      </c>
      <c r="Q179" s="3">
        <f t="shared" si="106"/>
        <v>0</v>
      </c>
      <c r="R179" s="3">
        <f t="shared" si="106"/>
        <v>0</v>
      </c>
      <c r="S179" s="3">
        <f t="shared" si="106"/>
        <v>0</v>
      </c>
      <c r="T179" s="3">
        <f t="shared" si="106"/>
        <v>1689.3331732051586</v>
      </c>
      <c r="U179" s="3">
        <f t="shared" si="106"/>
        <v>0</v>
      </c>
      <c r="V179" s="3">
        <f t="shared" si="106"/>
        <v>1214.21506827349</v>
      </c>
      <c r="X179" s="2">
        <f t="shared" si="84"/>
        <v>1.4653935338026511</v>
      </c>
    </row>
    <row r="180" spans="1:24" x14ac:dyDescent="0.2">
      <c r="A180">
        <v>6004</v>
      </c>
      <c r="B180">
        <v>21</v>
      </c>
      <c r="C180" s="3">
        <f t="shared" ref="C180:H180" si="107">+(C139-C99)</f>
        <v>0</v>
      </c>
      <c r="D180" s="3">
        <f t="shared" si="107"/>
        <v>0</v>
      </c>
      <c r="E180" s="3">
        <f t="shared" si="107"/>
        <v>0</v>
      </c>
      <c r="F180" s="3">
        <f t="shared" si="107"/>
        <v>0</v>
      </c>
      <c r="G180" s="3">
        <f t="shared" si="107"/>
        <v>0</v>
      </c>
      <c r="H180" s="3">
        <f t="shared" si="107"/>
        <v>0</v>
      </c>
      <c r="I180" s="3">
        <f t="shared" ref="I180:V180" si="108">+(I139-I15)</f>
        <v>54.187638687111111</v>
      </c>
      <c r="J180" s="3">
        <f t="shared" si="108"/>
        <v>0</v>
      </c>
      <c r="K180" s="3">
        <f t="shared" si="108"/>
        <v>0</v>
      </c>
      <c r="L180" s="3">
        <f t="shared" si="108"/>
        <v>0</v>
      </c>
      <c r="M180" s="3">
        <f t="shared" si="108"/>
        <v>-678.79872901209797</v>
      </c>
      <c r="N180" s="3">
        <f t="shared" si="108"/>
        <v>0</v>
      </c>
      <c r="O180" s="3">
        <f t="shared" si="108"/>
        <v>-39.6257881776136</v>
      </c>
      <c r="P180" s="3">
        <f t="shared" si="108"/>
        <v>0</v>
      </c>
      <c r="Q180" s="3">
        <f t="shared" si="108"/>
        <v>0</v>
      </c>
      <c r="R180" s="3">
        <f t="shared" si="108"/>
        <v>0</v>
      </c>
      <c r="S180" s="3">
        <f t="shared" si="108"/>
        <v>0</v>
      </c>
      <c r="T180" s="3">
        <f t="shared" si="108"/>
        <v>1772.0383945503877</v>
      </c>
      <c r="U180" s="3">
        <f t="shared" si="108"/>
        <v>0</v>
      </c>
      <c r="V180" s="3">
        <f t="shared" si="108"/>
        <v>1212.207502214437</v>
      </c>
      <c r="X180" s="2">
        <f t="shared" si="84"/>
        <v>2.3200090182622244</v>
      </c>
    </row>
    <row r="181" spans="1:24" x14ac:dyDescent="0.2">
      <c r="A181">
        <v>6004</v>
      </c>
      <c r="B181">
        <v>22</v>
      </c>
      <c r="C181" s="3">
        <f t="shared" ref="C181:H181" si="109">+(C140-C100)</f>
        <v>0</v>
      </c>
      <c r="D181" s="3">
        <f t="shared" si="109"/>
        <v>0</v>
      </c>
      <c r="E181" s="3">
        <f t="shared" si="109"/>
        <v>0</v>
      </c>
      <c r="F181" s="3">
        <f t="shared" si="109"/>
        <v>0</v>
      </c>
      <c r="G181" s="3">
        <f t="shared" si="109"/>
        <v>0</v>
      </c>
      <c r="H181" s="3">
        <f t="shared" si="109"/>
        <v>0</v>
      </c>
      <c r="I181" s="3">
        <f t="shared" ref="I181:V181" si="110">+(I140-I16)</f>
        <v>58.730503075030306</v>
      </c>
      <c r="J181" s="3">
        <f t="shared" si="110"/>
        <v>0</v>
      </c>
      <c r="K181" s="3">
        <f t="shared" si="110"/>
        <v>0</v>
      </c>
      <c r="L181" s="3">
        <f t="shared" si="110"/>
        <v>0</v>
      </c>
      <c r="M181" s="3">
        <f t="shared" si="110"/>
        <v>-768.35742827922104</v>
      </c>
      <c r="N181" s="3">
        <f t="shared" si="110"/>
        <v>0</v>
      </c>
      <c r="O181" s="3">
        <f t="shared" si="110"/>
        <v>-42.479938712336001</v>
      </c>
      <c r="P181" s="3">
        <f t="shared" si="110"/>
        <v>0</v>
      </c>
      <c r="Q181" s="3">
        <f t="shared" si="110"/>
        <v>0</v>
      </c>
      <c r="R181" s="3">
        <f t="shared" si="110"/>
        <v>0</v>
      </c>
      <c r="S181" s="3">
        <f t="shared" si="110"/>
        <v>0</v>
      </c>
      <c r="T181" s="3">
        <f t="shared" si="110"/>
        <v>1838.9246917686901</v>
      </c>
      <c r="U181" s="3">
        <f t="shared" si="110"/>
        <v>0</v>
      </c>
      <c r="V181" s="3">
        <f t="shared" si="110"/>
        <v>1314.1287336571779</v>
      </c>
      <c r="X181" s="2">
        <f t="shared" si="84"/>
        <v>2.400946561509341</v>
      </c>
    </row>
    <row r="182" spans="1:24" x14ac:dyDescent="0.2">
      <c r="A182">
        <v>6004</v>
      </c>
      <c r="B182">
        <v>23</v>
      </c>
      <c r="C182" s="3">
        <f t="shared" ref="C182:H182" si="111">+(C141-C101)</f>
        <v>0</v>
      </c>
      <c r="D182" s="3">
        <f t="shared" si="111"/>
        <v>0</v>
      </c>
      <c r="E182" s="3">
        <f t="shared" si="111"/>
        <v>0</v>
      </c>
      <c r="F182" s="3">
        <f t="shared" si="111"/>
        <v>0</v>
      </c>
      <c r="G182" s="3">
        <f t="shared" si="111"/>
        <v>0</v>
      </c>
      <c r="H182" s="3">
        <f t="shared" si="111"/>
        <v>0</v>
      </c>
      <c r="I182" s="3">
        <f t="shared" ref="I182:V182" si="112">+(I141-I17)</f>
        <v>54.961715901155387</v>
      </c>
      <c r="J182" s="3">
        <f t="shared" si="112"/>
        <v>0</v>
      </c>
      <c r="K182" s="3">
        <f t="shared" si="112"/>
        <v>0</v>
      </c>
      <c r="L182" s="3">
        <f t="shared" si="112"/>
        <v>0</v>
      </c>
      <c r="M182" s="3">
        <f t="shared" si="112"/>
        <v>-743.80759202962895</v>
      </c>
      <c r="N182" s="3">
        <f t="shared" si="112"/>
        <v>0</v>
      </c>
      <c r="O182" s="3">
        <f t="shared" si="112"/>
        <v>-45.502153537134099</v>
      </c>
      <c r="P182" s="3">
        <f t="shared" si="112"/>
        <v>0</v>
      </c>
      <c r="Q182" s="3">
        <f t="shared" si="112"/>
        <v>0</v>
      </c>
      <c r="R182" s="3">
        <f t="shared" si="112"/>
        <v>0</v>
      </c>
      <c r="S182" s="3">
        <f t="shared" si="112"/>
        <v>-198.04674249299401</v>
      </c>
      <c r="T182" s="3">
        <f t="shared" si="112"/>
        <v>1874.17960352825</v>
      </c>
      <c r="U182" s="3">
        <f t="shared" si="112"/>
        <v>0</v>
      </c>
      <c r="V182" s="3">
        <f t="shared" si="112"/>
        <v>1823.441980583545</v>
      </c>
      <c r="X182" s="2">
        <f t="shared" si="84"/>
        <v>2.7652268119531938</v>
      </c>
    </row>
    <row r="183" spans="1:24" x14ac:dyDescent="0.2">
      <c r="A183">
        <v>6004</v>
      </c>
      <c r="B183">
        <v>24</v>
      </c>
      <c r="C183" s="3">
        <f t="shared" ref="C183:H183" si="113">+(C142-C102)</f>
        <v>0</v>
      </c>
      <c r="D183" s="3">
        <f t="shared" si="113"/>
        <v>0</v>
      </c>
      <c r="E183" s="3">
        <f t="shared" si="113"/>
        <v>0</v>
      </c>
      <c r="F183" s="3">
        <f t="shared" si="113"/>
        <v>0</v>
      </c>
      <c r="G183" s="3">
        <f t="shared" si="113"/>
        <v>0</v>
      </c>
      <c r="H183" s="3">
        <f t="shared" si="113"/>
        <v>0</v>
      </c>
      <c r="I183" s="3">
        <f t="shared" ref="I183:V183" si="114">+(I142-I18)</f>
        <v>58.145276757264718</v>
      </c>
      <c r="J183" s="3">
        <f t="shared" si="114"/>
        <v>0</v>
      </c>
      <c r="K183" s="3">
        <f t="shared" si="114"/>
        <v>0</v>
      </c>
      <c r="L183" s="3">
        <f t="shared" si="114"/>
        <v>0</v>
      </c>
      <c r="M183" s="3">
        <f t="shared" si="114"/>
        <v>-1321.31691785352</v>
      </c>
      <c r="N183" s="3">
        <f t="shared" si="114"/>
        <v>0</v>
      </c>
      <c r="O183" s="3">
        <f t="shared" si="114"/>
        <v>-48.503938558375097</v>
      </c>
      <c r="P183" s="3">
        <f t="shared" si="114"/>
        <v>0</v>
      </c>
      <c r="Q183" s="3">
        <f t="shared" si="114"/>
        <v>0</v>
      </c>
      <c r="R183" s="3">
        <f t="shared" si="114"/>
        <v>0</v>
      </c>
      <c r="S183" s="3">
        <f t="shared" si="114"/>
        <v>-242.629740761238</v>
      </c>
      <c r="T183" s="3">
        <f t="shared" si="114"/>
        <v>2293.4008780725399</v>
      </c>
      <c r="U183" s="3">
        <f t="shared" si="114"/>
        <v>0</v>
      </c>
      <c r="V183" s="3">
        <f t="shared" si="114"/>
        <v>1731.4896330408951</v>
      </c>
      <c r="X183" s="2">
        <f t="shared" si="84"/>
        <v>2.4705851906975669</v>
      </c>
    </row>
    <row r="184" spans="1:24" x14ac:dyDescent="0.2">
      <c r="A184">
        <v>6004</v>
      </c>
      <c r="B184">
        <v>25</v>
      </c>
      <c r="C184" s="3">
        <f t="shared" ref="C184:H184" si="115">+(C143-C103)</f>
        <v>0</v>
      </c>
      <c r="D184" s="3">
        <f t="shared" si="115"/>
        <v>0</v>
      </c>
      <c r="E184" s="3">
        <f t="shared" si="115"/>
        <v>0</v>
      </c>
      <c r="F184" s="3">
        <f t="shared" si="115"/>
        <v>0</v>
      </c>
      <c r="G184" s="3">
        <f t="shared" si="115"/>
        <v>0</v>
      </c>
      <c r="H184" s="3">
        <f t="shared" si="115"/>
        <v>0</v>
      </c>
      <c r="I184" s="3">
        <f t="shared" ref="I184:V184" si="116">+(I143-I19)</f>
        <v>184.87469485689743</v>
      </c>
      <c r="J184" s="3">
        <f t="shared" si="116"/>
        <v>0</v>
      </c>
      <c r="K184" s="3">
        <f t="shared" si="116"/>
        <v>-3602.8254572904498</v>
      </c>
      <c r="L184" s="3">
        <f t="shared" si="116"/>
        <v>0</v>
      </c>
      <c r="M184" s="3">
        <f t="shared" si="116"/>
        <v>-3510.8228417157006</v>
      </c>
      <c r="N184" s="3">
        <f t="shared" si="116"/>
        <v>0</v>
      </c>
      <c r="O184" s="3">
        <f t="shared" si="116"/>
        <v>-51.335902641099302</v>
      </c>
      <c r="P184" s="3">
        <f t="shared" si="116"/>
        <v>-3518.8316770606598</v>
      </c>
      <c r="Q184" s="3">
        <f t="shared" si="116"/>
        <v>0</v>
      </c>
      <c r="R184" s="3">
        <f t="shared" si="116"/>
        <v>0</v>
      </c>
      <c r="S184" s="3">
        <f t="shared" si="116"/>
        <v>-2365.9837166284901</v>
      </c>
      <c r="T184" s="3">
        <f t="shared" si="116"/>
        <v>1952.6469668172099</v>
      </c>
      <c r="U184" s="3">
        <f t="shared" si="116"/>
        <v>0</v>
      </c>
      <c r="V184" s="3">
        <f t="shared" si="116"/>
        <v>6240.9599371742897</v>
      </c>
      <c r="X184" s="2">
        <f t="shared" si="84"/>
        <v>-4.6713179964880034</v>
      </c>
    </row>
    <row r="185" spans="1:24" x14ac:dyDescent="0.2">
      <c r="A185">
        <v>6004</v>
      </c>
      <c r="B185">
        <v>26</v>
      </c>
      <c r="C185" s="3">
        <f t="shared" ref="C185:H185" si="117">+(C144-C104)</f>
        <v>0</v>
      </c>
      <c r="D185" s="3">
        <f t="shared" si="117"/>
        <v>0</v>
      </c>
      <c r="E185" s="3">
        <f t="shared" si="117"/>
        <v>0</v>
      </c>
      <c r="F185" s="3">
        <f t="shared" si="117"/>
        <v>0</v>
      </c>
      <c r="G185" s="3">
        <f t="shared" si="117"/>
        <v>0</v>
      </c>
      <c r="H185" s="3">
        <f t="shared" si="117"/>
        <v>0</v>
      </c>
      <c r="I185" s="3">
        <f t="shared" ref="I185:V185" si="118">+(I144-I20)</f>
        <v>-9.4027215229449901</v>
      </c>
      <c r="J185" s="3">
        <f t="shared" si="118"/>
        <v>0</v>
      </c>
      <c r="K185" s="3">
        <f t="shared" si="118"/>
        <v>-276.68733310477501</v>
      </c>
      <c r="L185" s="3">
        <f t="shared" si="118"/>
        <v>0</v>
      </c>
      <c r="M185" s="3">
        <f t="shared" si="118"/>
        <v>-259.72162245769596</v>
      </c>
      <c r="N185" s="3">
        <f t="shared" si="118"/>
        <v>0</v>
      </c>
      <c r="O185" s="3">
        <f t="shared" si="118"/>
        <v>-52.777337280202403</v>
      </c>
      <c r="P185" s="3">
        <f t="shared" si="118"/>
        <v>-1098.8012645961901</v>
      </c>
      <c r="Q185" s="3">
        <f t="shared" si="118"/>
        <v>0</v>
      </c>
      <c r="R185" s="3">
        <f t="shared" si="118"/>
        <v>0</v>
      </c>
      <c r="S185" s="3">
        <f t="shared" si="118"/>
        <v>-3311.1516499116801</v>
      </c>
      <c r="T185" s="3">
        <f t="shared" si="118"/>
        <v>2117.691849393439</v>
      </c>
      <c r="U185" s="3">
        <f t="shared" si="118"/>
        <v>0</v>
      </c>
      <c r="V185" s="3">
        <f t="shared" si="118"/>
        <v>1848.21940188338</v>
      </c>
      <c r="X185" s="2">
        <f t="shared" si="84"/>
        <v>-1.0426306775966694</v>
      </c>
    </row>
    <row r="186" spans="1:24" x14ac:dyDescent="0.2">
      <c r="A186">
        <v>6004</v>
      </c>
      <c r="B186">
        <v>27</v>
      </c>
      <c r="C186" s="3">
        <f t="shared" ref="C186:H186" si="119">+(C145-C105)</f>
        <v>0</v>
      </c>
      <c r="D186" s="3">
        <f t="shared" si="119"/>
        <v>0</v>
      </c>
      <c r="E186" s="3">
        <f t="shared" si="119"/>
        <v>0</v>
      </c>
      <c r="F186" s="3">
        <f t="shared" si="119"/>
        <v>0</v>
      </c>
      <c r="G186" s="3">
        <f t="shared" si="119"/>
        <v>0</v>
      </c>
      <c r="H186" s="3">
        <f t="shared" si="119"/>
        <v>0</v>
      </c>
      <c r="I186" s="3">
        <f t="shared" ref="I186:V186" si="120">+(I145-I21)</f>
        <v>72.142040716815487</v>
      </c>
      <c r="J186" s="3">
        <f t="shared" si="120"/>
        <v>0</v>
      </c>
      <c r="K186" s="3">
        <f t="shared" si="120"/>
        <v>-286.304818897806</v>
      </c>
      <c r="L186" s="3">
        <f t="shared" si="120"/>
        <v>0</v>
      </c>
      <c r="M186" s="3">
        <f t="shared" si="120"/>
        <v>-1419.2378549530499</v>
      </c>
      <c r="N186" s="3">
        <f t="shared" si="120"/>
        <v>0</v>
      </c>
      <c r="O186" s="3">
        <f t="shared" si="120"/>
        <v>-54.341617608298201</v>
      </c>
      <c r="P186" s="3">
        <f t="shared" si="120"/>
        <v>-1329.8072928322499</v>
      </c>
      <c r="Q186" s="3">
        <f t="shared" si="120"/>
        <v>0</v>
      </c>
      <c r="R186" s="3">
        <f t="shared" si="120"/>
        <v>0</v>
      </c>
      <c r="S186" s="3">
        <f t="shared" si="120"/>
        <v>-131.24915112339599</v>
      </c>
      <c r="T186" s="3">
        <f t="shared" si="120"/>
        <v>2115.026200550953</v>
      </c>
      <c r="U186" s="3">
        <f t="shared" si="120"/>
        <v>0</v>
      </c>
      <c r="V186" s="3">
        <f t="shared" si="120"/>
        <v>881.03104592134196</v>
      </c>
      <c r="X186" s="2">
        <f t="shared" si="84"/>
        <v>-0.15274144822568997</v>
      </c>
    </row>
    <row r="187" spans="1:24" x14ac:dyDescent="0.2">
      <c r="A187">
        <v>6004</v>
      </c>
      <c r="B187">
        <v>28</v>
      </c>
      <c r="C187" s="3">
        <f t="shared" ref="C187:H187" si="121">+(C146-C106)</f>
        <v>0</v>
      </c>
      <c r="D187" s="3">
        <f t="shared" si="121"/>
        <v>0</v>
      </c>
      <c r="E187" s="3">
        <f t="shared" si="121"/>
        <v>0</v>
      </c>
      <c r="F187" s="3">
        <f t="shared" si="121"/>
        <v>0</v>
      </c>
      <c r="G187" s="3">
        <f t="shared" si="121"/>
        <v>0</v>
      </c>
      <c r="H187" s="3">
        <f t="shared" si="121"/>
        <v>0</v>
      </c>
      <c r="I187" s="3">
        <f t="shared" ref="I187:V187" si="122">+(I146-I22)</f>
        <v>113.49556775738552</v>
      </c>
      <c r="J187" s="3">
        <f t="shared" si="122"/>
        <v>0</v>
      </c>
      <c r="K187" s="3">
        <f t="shared" si="122"/>
        <v>-294.02477752717499</v>
      </c>
      <c r="L187" s="3">
        <f t="shared" si="122"/>
        <v>0</v>
      </c>
      <c r="M187" s="3">
        <f t="shared" si="122"/>
        <v>-905.29872950505796</v>
      </c>
      <c r="N187" s="3">
        <f t="shared" si="122"/>
        <v>0</v>
      </c>
      <c r="O187" s="3">
        <f t="shared" si="122"/>
        <v>-55.529376983825301</v>
      </c>
      <c r="P187" s="3">
        <f t="shared" si="122"/>
        <v>-542.04981170882297</v>
      </c>
      <c r="Q187" s="3">
        <f t="shared" si="122"/>
        <v>0</v>
      </c>
      <c r="R187" s="3">
        <f t="shared" si="122"/>
        <v>0</v>
      </c>
      <c r="S187" s="3">
        <f t="shared" si="122"/>
        <v>-134.08237857424999</v>
      </c>
      <c r="T187" s="3">
        <f t="shared" si="122"/>
        <v>2222.2668990174229</v>
      </c>
      <c r="U187" s="3">
        <f t="shared" si="122"/>
        <v>-140.32814913919501</v>
      </c>
      <c r="V187" s="3">
        <f t="shared" si="122"/>
        <v>-84.56924569108601</v>
      </c>
      <c r="X187" s="2">
        <f t="shared" si="84"/>
        <v>0.17987999764539603</v>
      </c>
    </row>
    <row r="188" spans="1:24" x14ac:dyDescent="0.2">
      <c r="A188">
        <v>6004</v>
      </c>
      <c r="B188">
        <v>29</v>
      </c>
      <c r="C188" s="3">
        <f t="shared" ref="C188:H188" si="123">+(C147-C107)</f>
        <v>0</v>
      </c>
      <c r="D188" s="3">
        <f t="shared" si="123"/>
        <v>0</v>
      </c>
      <c r="E188" s="3">
        <f t="shared" si="123"/>
        <v>0</v>
      </c>
      <c r="F188" s="3">
        <f t="shared" si="123"/>
        <v>0</v>
      </c>
      <c r="G188" s="3">
        <f t="shared" si="123"/>
        <v>0</v>
      </c>
      <c r="H188" s="3">
        <f t="shared" si="123"/>
        <v>0</v>
      </c>
      <c r="I188" s="3">
        <f t="shared" ref="I188:V188" si="124">+(I147-I23)</f>
        <v>202.24251919887882</v>
      </c>
      <c r="J188" s="3">
        <f t="shared" si="124"/>
        <v>0</v>
      </c>
      <c r="K188" s="3">
        <f t="shared" si="124"/>
        <v>-4380.6360453503303</v>
      </c>
      <c r="L188" s="3">
        <f t="shared" si="124"/>
        <v>0</v>
      </c>
      <c r="M188" s="3">
        <f t="shared" si="124"/>
        <v>-927.80659235031203</v>
      </c>
      <c r="N188" s="3">
        <f t="shared" si="124"/>
        <v>0</v>
      </c>
      <c r="O188" s="3">
        <f t="shared" si="124"/>
        <v>-56.810352524780697</v>
      </c>
      <c r="P188" s="3">
        <f t="shared" si="124"/>
        <v>-564.32135021674901</v>
      </c>
      <c r="Q188" s="3">
        <f t="shared" si="124"/>
        <v>320.13364982801801</v>
      </c>
      <c r="R188" s="3">
        <f t="shared" si="124"/>
        <v>0</v>
      </c>
      <c r="S188" s="3">
        <f t="shared" si="124"/>
        <v>-386.72327552735601</v>
      </c>
      <c r="T188" s="3">
        <f t="shared" si="124"/>
        <v>3395.1760026303691</v>
      </c>
      <c r="U188" s="3">
        <f t="shared" si="124"/>
        <v>169.82204462963006</v>
      </c>
      <c r="V188" s="3">
        <f t="shared" si="124"/>
        <v>855.65874083841982</v>
      </c>
      <c r="X188" s="2">
        <f t="shared" si="84"/>
        <v>-1.3732646588442126</v>
      </c>
    </row>
    <row r="189" spans="1:24" x14ac:dyDescent="0.2">
      <c r="A189">
        <v>6004</v>
      </c>
      <c r="B189">
        <v>30</v>
      </c>
      <c r="C189" s="3">
        <f t="shared" ref="C189:H189" si="125">+(C148-C108)</f>
        <v>0</v>
      </c>
      <c r="D189" s="3">
        <f t="shared" si="125"/>
        <v>0</v>
      </c>
      <c r="E189" s="3">
        <f t="shared" si="125"/>
        <v>0</v>
      </c>
      <c r="F189" s="3">
        <f t="shared" si="125"/>
        <v>0</v>
      </c>
      <c r="G189" s="3">
        <f t="shared" si="125"/>
        <v>0</v>
      </c>
      <c r="H189" s="3">
        <f t="shared" si="125"/>
        <v>0</v>
      </c>
      <c r="I189" s="3">
        <f t="shared" ref="I189:V189" si="126">+(I148-I24)</f>
        <v>95.497958107643996</v>
      </c>
      <c r="J189" s="3">
        <f t="shared" si="126"/>
        <v>0</v>
      </c>
      <c r="K189" s="3">
        <f t="shared" si="126"/>
        <v>-311.239686328353</v>
      </c>
      <c r="L189" s="3">
        <f t="shared" si="126"/>
        <v>0</v>
      </c>
      <c r="M189" s="3">
        <f t="shared" si="126"/>
        <v>-3805.84728335209</v>
      </c>
      <c r="N189" s="3">
        <f t="shared" si="126"/>
        <v>0</v>
      </c>
      <c r="O189" s="3">
        <f t="shared" si="126"/>
        <v>-58.1930503210247</v>
      </c>
      <c r="P189" s="3">
        <f t="shared" si="126"/>
        <v>-793.866489592324</v>
      </c>
      <c r="Q189" s="3">
        <f t="shared" si="126"/>
        <v>1305.7515447553701</v>
      </c>
      <c r="R189" s="3">
        <f t="shared" si="126"/>
        <v>0</v>
      </c>
      <c r="S189" s="3">
        <f t="shared" si="126"/>
        <v>-923.40293423569995</v>
      </c>
      <c r="T189" s="3">
        <f t="shared" si="126"/>
        <v>3033.4431674221996</v>
      </c>
      <c r="U189" s="3">
        <f t="shared" si="126"/>
        <v>-13.771856840746977</v>
      </c>
      <c r="V189" s="3">
        <f t="shared" si="126"/>
        <v>3286.1383300663547</v>
      </c>
      <c r="X189" s="2">
        <f t="shared" si="84"/>
        <v>1.8145096996813292</v>
      </c>
    </row>
    <row r="190" spans="1:24" x14ac:dyDescent="0.2">
      <c r="A190">
        <v>6004</v>
      </c>
      <c r="B190">
        <v>31</v>
      </c>
      <c r="C190" s="3">
        <f t="shared" ref="C190:H190" si="127">+(C149-C109)</f>
        <v>0</v>
      </c>
      <c r="D190" s="3">
        <f t="shared" si="127"/>
        <v>0</v>
      </c>
      <c r="E190" s="3">
        <f t="shared" si="127"/>
        <v>0</v>
      </c>
      <c r="F190" s="3">
        <f t="shared" si="127"/>
        <v>0</v>
      </c>
      <c r="G190" s="3">
        <f t="shared" si="127"/>
        <v>0</v>
      </c>
      <c r="H190" s="3">
        <f t="shared" si="127"/>
        <v>0</v>
      </c>
      <c r="I190" s="3">
        <f t="shared" ref="I190:V190" si="128">+(I149-I25)</f>
        <v>142.5392688957817</v>
      </c>
      <c r="J190" s="3">
        <f t="shared" si="128"/>
        <v>0</v>
      </c>
      <c r="K190" s="3">
        <f t="shared" si="128"/>
        <v>-325.01598333729601</v>
      </c>
      <c r="L190" s="3">
        <f t="shared" si="128"/>
        <v>0</v>
      </c>
      <c r="M190" s="3">
        <f t="shared" si="128"/>
        <v>-978.11511002900295</v>
      </c>
      <c r="N190" s="3">
        <f t="shared" si="128"/>
        <v>0</v>
      </c>
      <c r="O190" s="3">
        <f t="shared" si="128"/>
        <v>-59.305437341141399</v>
      </c>
      <c r="P190" s="3">
        <f t="shared" si="128"/>
        <v>-561.43873025173195</v>
      </c>
      <c r="Q190" s="3">
        <f t="shared" si="128"/>
        <v>187.834922805883</v>
      </c>
      <c r="R190" s="3">
        <f t="shared" si="128"/>
        <v>0</v>
      </c>
      <c r="S190" s="3">
        <f t="shared" si="128"/>
        <v>-853.48863766387501</v>
      </c>
      <c r="T190" s="3">
        <f t="shared" si="128"/>
        <v>3184.1900936206698</v>
      </c>
      <c r="U190" s="3">
        <f t="shared" si="128"/>
        <v>-319.759785820991</v>
      </c>
      <c r="V190" s="3">
        <f t="shared" si="128"/>
        <v>1285.7494391913799</v>
      </c>
      <c r="X190" s="2">
        <f t="shared" si="84"/>
        <v>1.7031900400696762</v>
      </c>
    </row>
    <row r="191" spans="1:24" x14ac:dyDescent="0.2">
      <c r="A191">
        <v>6004</v>
      </c>
      <c r="B191">
        <v>32</v>
      </c>
      <c r="C191" s="3">
        <f t="shared" ref="C191:H191" si="129">+(C150-C110)</f>
        <v>0</v>
      </c>
      <c r="D191" s="3">
        <f t="shared" si="129"/>
        <v>0</v>
      </c>
      <c r="E191" s="3">
        <f t="shared" si="129"/>
        <v>0</v>
      </c>
      <c r="F191" s="3">
        <f t="shared" si="129"/>
        <v>0</v>
      </c>
      <c r="G191" s="3">
        <f t="shared" si="129"/>
        <v>0</v>
      </c>
      <c r="H191" s="3">
        <f t="shared" si="129"/>
        <v>0</v>
      </c>
      <c r="I191" s="3">
        <f t="shared" ref="I191:V191" si="130">+(I150-I26)</f>
        <v>212.16270511418492</v>
      </c>
      <c r="J191" s="3">
        <f t="shared" si="130"/>
        <v>0</v>
      </c>
      <c r="K191" s="3">
        <f t="shared" si="130"/>
        <v>-336.03223680975202</v>
      </c>
      <c r="L191" s="3">
        <f t="shared" si="130"/>
        <v>0</v>
      </c>
      <c r="M191" s="3">
        <f t="shared" si="130"/>
        <v>-1003.12462305124</v>
      </c>
      <c r="N191" s="3">
        <f t="shared" si="130"/>
        <v>0</v>
      </c>
      <c r="O191" s="3">
        <f t="shared" si="130"/>
        <v>-60.5202905937143</v>
      </c>
      <c r="P191" s="3">
        <f t="shared" si="130"/>
        <v>-554.86886109149805</v>
      </c>
      <c r="Q191" s="3">
        <f t="shared" si="130"/>
        <v>545.90251859534101</v>
      </c>
      <c r="R191" s="3">
        <f t="shared" si="130"/>
        <v>0</v>
      </c>
      <c r="S191" s="3">
        <f t="shared" si="130"/>
        <v>-1493.4270567098999</v>
      </c>
      <c r="T191" s="3">
        <f t="shared" si="130"/>
        <v>3522.0689426164004</v>
      </c>
      <c r="U191" s="3">
        <f t="shared" si="130"/>
        <v>-8.7438467145852705</v>
      </c>
      <c r="V191" s="3">
        <f t="shared" si="130"/>
        <v>589.81999971791993</v>
      </c>
      <c r="X191" s="2">
        <f t="shared" si="84"/>
        <v>1.4132372510731566</v>
      </c>
    </row>
    <row r="192" spans="1:24" x14ac:dyDescent="0.2">
      <c r="A192">
        <v>6004</v>
      </c>
      <c r="B192">
        <v>33</v>
      </c>
      <c r="C192" s="3">
        <f t="shared" ref="C192:H192" si="131">+(C151-C111)</f>
        <v>0</v>
      </c>
      <c r="D192" s="3">
        <f t="shared" si="131"/>
        <v>0</v>
      </c>
      <c r="E192" s="3">
        <f t="shared" si="131"/>
        <v>0</v>
      </c>
      <c r="F192" s="3">
        <f t="shared" si="131"/>
        <v>0</v>
      </c>
      <c r="G192" s="3">
        <f t="shared" si="131"/>
        <v>0</v>
      </c>
      <c r="H192" s="3">
        <f t="shared" si="131"/>
        <v>0</v>
      </c>
      <c r="I192" s="3">
        <f t="shared" ref="I192:V192" si="132">+(I151-I27)</f>
        <v>132.88697571562898</v>
      </c>
      <c r="J192" s="3">
        <f t="shared" si="132"/>
        <v>0</v>
      </c>
      <c r="K192" s="3">
        <f t="shared" si="132"/>
        <v>-344.70468474362099</v>
      </c>
      <c r="L192" s="3">
        <f t="shared" si="132"/>
        <v>0</v>
      </c>
      <c r="M192" s="3">
        <f t="shared" si="132"/>
        <v>-3001.5235509286899</v>
      </c>
      <c r="N192" s="3">
        <f t="shared" si="132"/>
        <v>0</v>
      </c>
      <c r="O192" s="3">
        <f t="shared" si="132"/>
        <v>-62.027233656344002</v>
      </c>
      <c r="P192" s="3">
        <f t="shared" si="132"/>
        <v>-539.46315639027705</v>
      </c>
      <c r="Q192" s="3">
        <f t="shared" si="132"/>
        <v>0</v>
      </c>
      <c r="R192" s="3">
        <f t="shared" si="132"/>
        <v>0</v>
      </c>
      <c r="S192" s="3">
        <f t="shared" si="132"/>
        <v>-150.52618129882401</v>
      </c>
      <c r="T192" s="3">
        <f t="shared" si="132"/>
        <v>4313.7016005635642</v>
      </c>
      <c r="U192" s="3">
        <f t="shared" si="132"/>
        <v>0</v>
      </c>
      <c r="V192" s="3">
        <f t="shared" si="132"/>
        <v>2508.181466104299</v>
      </c>
      <c r="X192" s="2">
        <f t="shared" si="84"/>
        <v>2.8565252353657362</v>
      </c>
    </row>
    <row r="193" spans="1:24" x14ac:dyDescent="0.2">
      <c r="A193">
        <v>6004</v>
      </c>
      <c r="B193">
        <v>34</v>
      </c>
      <c r="C193" s="3">
        <f t="shared" ref="C193:H193" si="133">+(C152-C112)</f>
        <v>0</v>
      </c>
      <c r="D193" s="3">
        <f t="shared" si="133"/>
        <v>0</v>
      </c>
      <c r="E193" s="3">
        <f t="shared" si="133"/>
        <v>0</v>
      </c>
      <c r="F193" s="3">
        <f t="shared" si="133"/>
        <v>0</v>
      </c>
      <c r="G193" s="3">
        <f t="shared" si="133"/>
        <v>0</v>
      </c>
      <c r="H193" s="3">
        <f t="shared" si="133"/>
        <v>0</v>
      </c>
      <c r="I193" s="3">
        <f t="shared" ref="I193:V193" si="134">+(I152-I28)</f>
        <v>144.57593565810251</v>
      </c>
      <c r="J193" s="3">
        <f t="shared" si="134"/>
        <v>0</v>
      </c>
      <c r="K193" s="3">
        <f t="shared" si="134"/>
        <v>-340.00416172837703</v>
      </c>
      <c r="L193" s="3">
        <f t="shared" si="134"/>
        <v>0</v>
      </c>
      <c r="M193" s="3">
        <f t="shared" si="134"/>
        <v>-1071.0294654655199</v>
      </c>
      <c r="N193" s="3">
        <f t="shared" si="134"/>
        <v>0</v>
      </c>
      <c r="O193" s="3">
        <f t="shared" si="134"/>
        <v>-63.924726588628197</v>
      </c>
      <c r="P193" s="3">
        <f t="shared" si="134"/>
        <v>-542.19489927108805</v>
      </c>
      <c r="Q193" s="3">
        <f t="shared" si="134"/>
        <v>0</v>
      </c>
      <c r="R193" s="3">
        <f t="shared" si="134"/>
        <v>0</v>
      </c>
      <c r="S193" s="3">
        <f t="shared" si="134"/>
        <v>-1348.1502618882901</v>
      </c>
      <c r="T193" s="3">
        <f t="shared" si="134"/>
        <v>4170.667121796916</v>
      </c>
      <c r="U193" s="3">
        <f t="shared" si="134"/>
        <v>0</v>
      </c>
      <c r="V193" s="3">
        <f t="shared" si="134"/>
        <v>900.44521411105711</v>
      </c>
      <c r="X193" s="2">
        <f t="shared" si="84"/>
        <v>1.8503847566241722</v>
      </c>
    </row>
    <row r="194" spans="1:24" x14ac:dyDescent="0.2">
      <c r="A194">
        <v>6004</v>
      </c>
      <c r="B194">
        <v>35</v>
      </c>
      <c r="C194" s="3">
        <f t="shared" ref="C194:H194" si="135">+(C153-C113)</f>
        <v>0</v>
      </c>
      <c r="D194" s="3">
        <f t="shared" si="135"/>
        <v>0</v>
      </c>
      <c r="E194" s="3">
        <f t="shared" si="135"/>
        <v>0</v>
      </c>
      <c r="F194" s="3">
        <f t="shared" si="135"/>
        <v>0</v>
      </c>
      <c r="G194" s="3">
        <f t="shared" si="135"/>
        <v>0</v>
      </c>
      <c r="H194" s="3">
        <f t="shared" si="135"/>
        <v>0</v>
      </c>
      <c r="I194" s="3">
        <f t="shared" ref="I194:V194" si="136">+(I153-I29)</f>
        <v>152.03872555921561</v>
      </c>
      <c r="J194" s="3">
        <f t="shared" si="136"/>
        <v>0</v>
      </c>
      <c r="K194" s="3">
        <f t="shared" si="136"/>
        <v>-348.34426917672698</v>
      </c>
      <c r="L194" s="3">
        <f t="shared" si="136"/>
        <v>0</v>
      </c>
      <c r="M194" s="3">
        <f t="shared" si="136"/>
        <v>-3623.5430818869199</v>
      </c>
      <c r="N194" s="3">
        <f t="shared" si="136"/>
        <v>0</v>
      </c>
      <c r="O194" s="3">
        <f t="shared" si="136"/>
        <v>-66.071332316561595</v>
      </c>
      <c r="P194" s="3">
        <f t="shared" si="136"/>
        <v>-541.72913258958999</v>
      </c>
      <c r="Q194" s="3">
        <f t="shared" si="136"/>
        <v>0</v>
      </c>
      <c r="R194" s="3">
        <f t="shared" si="136"/>
        <v>0</v>
      </c>
      <c r="S194" s="3">
        <f t="shared" si="136"/>
        <v>-156.696430164411</v>
      </c>
      <c r="T194" s="3">
        <f t="shared" si="136"/>
        <v>3899.5180270231972</v>
      </c>
      <c r="U194" s="3">
        <f t="shared" si="136"/>
        <v>0</v>
      </c>
      <c r="V194" s="3">
        <f t="shared" si="136"/>
        <v>2169.5153209310643</v>
      </c>
      <c r="X194" s="2">
        <f t="shared" si="84"/>
        <v>1.4846878273792672</v>
      </c>
    </row>
    <row r="195" spans="1:24" x14ac:dyDescent="0.2">
      <c r="A195">
        <v>6004</v>
      </c>
      <c r="B195">
        <v>36</v>
      </c>
      <c r="C195" s="3">
        <f t="shared" ref="C195:H195" si="137">+(C154-C114)</f>
        <v>0</v>
      </c>
      <c r="D195" s="3">
        <f t="shared" si="137"/>
        <v>0</v>
      </c>
      <c r="E195" s="3">
        <f t="shared" si="137"/>
        <v>0</v>
      </c>
      <c r="F195" s="3">
        <f t="shared" si="137"/>
        <v>0</v>
      </c>
      <c r="G195" s="3">
        <f t="shared" si="137"/>
        <v>0</v>
      </c>
      <c r="H195" s="3">
        <f t="shared" si="137"/>
        <v>0</v>
      </c>
      <c r="I195" s="3">
        <f t="shared" ref="I195:V195" si="138">+(I154-I30)</f>
        <v>155.4102672701967</v>
      </c>
      <c r="J195" s="3">
        <f t="shared" si="138"/>
        <v>0</v>
      </c>
      <c r="K195" s="3">
        <f t="shared" si="138"/>
        <v>-398.98043245988498</v>
      </c>
      <c r="L195" s="3">
        <f t="shared" si="138"/>
        <v>0</v>
      </c>
      <c r="M195" s="3">
        <f t="shared" si="138"/>
        <v>-1497.6026157213901</v>
      </c>
      <c r="N195" s="3">
        <f t="shared" si="138"/>
        <v>0</v>
      </c>
      <c r="O195" s="3">
        <f t="shared" si="138"/>
        <v>-72.715212544315804</v>
      </c>
      <c r="P195" s="3">
        <f t="shared" si="138"/>
        <v>-598.03818541508394</v>
      </c>
      <c r="Q195" s="3">
        <f t="shared" si="138"/>
        <v>0</v>
      </c>
      <c r="R195" s="3">
        <f t="shared" si="138"/>
        <v>0</v>
      </c>
      <c r="S195" s="3">
        <f t="shared" si="138"/>
        <v>-145.77936108936501</v>
      </c>
      <c r="T195" s="3">
        <f t="shared" si="138"/>
        <v>3791.1418138193098</v>
      </c>
      <c r="U195" s="3">
        <f t="shared" si="138"/>
        <v>0</v>
      </c>
      <c r="V195" s="3">
        <f t="shared" si="138"/>
        <v>1775.821683336834</v>
      </c>
      <c r="X195" s="2">
        <f t="shared" si="84"/>
        <v>3.0092579571963003</v>
      </c>
    </row>
    <row r="196" spans="1:24" x14ac:dyDescent="0.2">
      <c r="A196">
        <v>6004</v>
      </c>
      <c r="B196">
        <v>37</v>
      </c>
      <c r="C196" s="3">
        <f t="shared" ref="C196:H196" si="139">+(C155-C115)</f>
        <v>0</v>
      </c>
      <c r="D196" s="3">
        <f t="shared" si="139"/>
        <v>0</v>
      </c>
      <c r="E196" s="3">
        <f t="shared" si="139"/>
        <v>0</v>
      </c>
      <c r="F196" s="3">
        <f t="shared" si="139"/>
        <v>0</v>
      </c>
      <c r="G196" s="3">
        <f t="shared" si="139"/>
        <v>0</v>
      </c>
      <c r="H196" s="3">
        <f t="shared" si="139"/>
        <v>0</v>
      </c>
      <c r="I196" s="3">
        <f t="shared" ref="I196:V196" si="140">+(I155-I31)</f>
        <v>162.6410065417914</v>
      </c>
      <c r="J196" s="3">
        <f t="shared" si="140"/>
        <v>0</v>
      </c>
      <c r="K196" s="3">
        <f t="shared" si="140"/>
        <v>-403.40181538870502</v>
      </c>
      <c r="L196" s="3">
        <f t="shared" si="140"/>
        <v>0</v>
      </c>
      <c r="M196" s="3">
        <f t="shared" si="140"/>
        <v>-2141.9450051787298</v>
      </c>
      <c r="N196" s="3">
        <f t="shared" si="140"/>
        <v>0</v>
      </c>
      <c r="O196" s="3">
        <f t="shared" si="140"/>
        <v>-73.521020983157001</v>
      </c>
      <c r="P196" s="3">
        <f t="shared" si="140"/>
        <v>-604.52229411188</v>
      </c>
      <c r="Q196" s="3">
        <f t="shared" si="140"/>
        <v>0</v>
      </c>
      <c r="R196" s="3">
        <f t="shared" si="140"/>
        <v>0</v>
      </c>
      <c r="S196" s="3">
        <f t="shared" si="140"/>
        <v>-934.54085224155006</v>
      </c>
      <c r="T196" s="3">
        <f t="shared" si="140"/>
        <v>4113.9510678371107</v>
      </c>
      <c r="U196" s="3">
        <f t="shared" si="140"/>
        <v>0</v>
      </c>
      <c r="V196" s="3">
        <f t="shared" si="140"/>
        <v>5445.2078640386208</v>
      </c>
      <c r="X196" s="2">
        <f t="shared" si="84"/>
        <v>5.5638689505135011</v>
      </c>
    </row>
    <row r="197" spans="1:24" x14ac:dyDescent="0.2">
      <c r="A197">
        <v>6004</v>
      </c>
      <c r="B197">
        <v>38</v>
      </c>
      <c r="C197" s="3">
        <f t="shared" ref="C197:H197" si="141">+(C156-C116)</f>
        <v>0</v>
      </c>
      <c r="D197" s="3">
        <f t="shared" si="141"/>
        <v>0</v>
      </c>
      <c r="E197" s="3">
        <f t="shared" si="141"/>
        <v>0</v>
      </c>
      <c r="F197" s="3">
        <f t="shared" si="141"/>
        <v>0</v>
      </c>
      <c r="G197" s="3">
        <f t="shared" si="141"/>
        <v>0</v>
      </c>
      <c r="H197" s="3">
        <f t="shared" si="141"/>
        <v>0</v>
      </c>
      <c r="I197" s="3">
        <f t="shared" ref="I197:V197" si="142">+(I156-I32)</f>
        <v>169.80020246698558</v>
      </c>
      <c r="J197" s="3">
        <f t="shared" si="142"/>
        <v>0</v>
      </c>
      <c r="K197" s="3">
        <f t="shared" si="142"/>
        <v>-508.139129882053</v>
      </c>
      <c r="L197" s="3">
        <f t="shared" si="142"/>
        <v>0</v>
      </c>
      <c r="M197" s="3">
        <f t="shared" si="142"/>
        <v>-3175.8070876429401</v>
      </c>
      <c r="N197" s="3">
        <f t="shared" si="142"/>
        <v>0</v>
      </c>
      <c r="O197" s="3">
        <f t="shared" si="142"/>
        <v>-73.769655444201504</v>
      </c>
      <c r="P197" s="3">
        <f t="shared" si="142"/>
        <v>-589.11739067762005</v>
      </c>
      <c r="Q197" s="3">
        <f t="shared" si="142"/>
        <v>0</v>
      </c>
      <c r="R197" s="3">
        <f t="shared" si="142"/>
        <v>0</v>
      </c>
      <c r="S197" s="3">
        <f t="shared" si="142"/>
        <v>-156.71807527764301</v>
      </c>
      <c r="T197" s="3">
        <f t="shared" si="142"/>
        <v>4475.4721800543275</v>
      </c>
      <c r="U197" s="3">
        <f t="shared" si="142"/>
        <v>0</v>
      </c>
      <c r="V197" s="3">
        <f t="shared" si="142"/>
        <v>10377.792213849898</v>
      </c>
      <c r="X197" s="2">
        <f t="shared" si="84"/>
        <v>10.519513257446752</v>
      </c>
    </row>
    <row r="198" spans="1:24" x14ac:dyDescent="0.2">
      <c r="A198">
        <v>6004</v>
      </c>
      <c r="B198">
        <v>39</v>
      </c>
      <c r="C198" s="3">
        <f t="shared" ref="C198:H198" si="143">+(C157-C117)</f>
        <v>0</v>
      </c>
      <c r="D198" s="3">
        <f t="shared" si="143"/>
        <v>0</v>
      </c>
      <c r="E198" s="3">
        <f t="shared" si="143"/>
        <v>0</v>
      </c>
      <c r="F198" s="3">
        <f t="shared" si="143"/>
        <v>0</v>
      </c>
      <c r="G198" s="3">
        <f t="shared" si="143"/>
        <v>0</v>
      </c>
      <c r="H198" s="3">
        <f t="shared" si="143"/>
        <v>0</v>
      </c>
      <c r="I198" s="3">
        <f t="shared" ref="I198:V198" si="144">+(I157-I33)</f>
        <v>177.0747608136065</v>
      </c>
      <c r="J198" s="3">
        <f t="shared" si="144"/>
        <v>0</v>
      </c>
      <c r="K198" s="3">
        <f t="shared" si="144"/>
        <v>-1226.61529380822</v>
      </c>
      <c r="L198" s="3">
        <f t="shared" si="144"/>
        <v>0</v>
      </c>
      <c r="M198" s="3">
        <f t="shared" si="144"/>
        <v>-2609.6136387660899</v>
      </c>
      <c r="N198" s="3">
        <f t="shared" si="144"/>
        <v>0</v>
      </c>
      <c r="O198" s="3">
        <f t="shared" si="144"/>
        <v>-74.011175011575403</v>
      </c>
      <c r="P198" s="3">
        <f t="shared" si="144"/>
        <v>0</v>
      </c>
      <c r="Q198" s="3">
        <f t="shared" si="144"/>
        <v>0</v>
      </c>
      <c r="R198" s="3">
        <f t="shared" si="144"/>
        <v>0</v>
      </c>
      <c r="S198" s="3">
        <f t="shared" si="144"/>
        <v>-161.87713110754299</v>
      </c>
      <c r="T198" s="3">
        <f t="shared" si="144"/>
        <v>4778.7230694614127</v>
      </c>
      <c r="U198" s="3">
        <f t="shared" si="144"/>
        <v>0</v>
      </c>
      <c r="V198" s="3">
        <f t="shared" si="144"/>
        <v>-261.55359608899698</v>
      </c>
      <c r="X198" s="2">
        <f t="shared" si="84"/>
        <v>0.6221269954925942</v>
      </c>
    </row>
    <row r="199" spans="1:24" x14ac:dyDescent="0.2">
      <c r="A199">
        <v>6004</v>
      </c>
      <c r="B199">
        <v>40</v>
      </c>
      <c r="C199" s="3">
        <f t="shared" ref="C199:H199" si="145">+(C158-C118)</f>
        <v>0</v>
      </c>
      <c r="D199" s="3">
        <f t="shared" si="145"/>
        <v>0</v>
      </c>
      <c r="E199" s="3">
        <f t="shared" si="145"/>
        <v>0</v>
      </c>
      <c r="F199" s="3">
        <f t="shared" si="145"/>
        <v>0</v>
      </c>
      <c r="G199" s="3">
        <f t="shared" si="145"/>
        <v>0</v>
      </c>
      <c r="H199" s="3">
        <f t="shared" si="145"/>
        <v>0</v>
      </c>
      <c r="I199" s="3">
        <f t="shared" ref="I199:V199" si="146">+(I158-I34)</f>
        <v>184.21144364900098</v>
      </c>
      <c r="J199" s="3">
        <f t="shared" si="146"/>
        <v>0</v>
      </c>
      <c r="K199" s="3">
        <f t="shared" si="146"/>
        <v>-638.89757260838701</v>
      </c>
      <c r="L199" s="3">
        <f t="shared" si="146"/>
        <v>0</v>
      </c>
      <c r="M199" s="3">
        <f t="shared" si="146"/>
        <v>-1655.1121680813501</v>
      </c>
      <c r="N199" s="3">
        <f t="shared" si="146"/>
        <v>0</v>
      </c>
      <c r="O199" s="3">
        <f t="shared" si="146"/>
        <v>-73.725670992925799</v>
      </c>
      <c r="P199" s="3">
        <f t="shared" si="146"/>
        <v>0</v>
      </c>
      <c r="Q199" s="3">
        <f t="shared" si="146"/>
        <v>121.21665729245069</v>
      </c>
      <c r="R199" s="3">
        <f t="shared" si="146"/>
        <v>0</v>
      </c>
      <c r="S199" s="3">
        <f t="shared" si="146"/>
        <v>-901.18967026800601</v>
      </c>
      <c r="T199" s="3">
        <f t="shared" si="146"/>
        <v>4491.1426017225294</v>
      </c>
      <c r="U199" s="3">
        <f t="shared" si="146"/>
        <v>0</v>
      </c>
      <c r="V199" s="3">
        <f t="shared" si="146"/>
        <v>-122.8754077602598</v>
      </c>
      <c r="X199" s="2">
        <f t="shared" si="84"/>
        <v>1.4047702129530526</v>
      </c>
    </row>
    <row r="200" spans="1:24" x14ac:dyDescent="0.2">
      <c r="A200">
        <v>6004</v>
      </c>
      <c r="B200">
        <v>41</v>
      </c>
      <c r="C200" s="3">
        <f t="shared" ref="C200:H200" si="147">+(C159-C119)</f>
        <v>0</v>
      </c>
      <c r="D200" s="3">
        <f t="shared" si="147"/>
        <v>0</v>
      </c>
      <c r="E200" s="3">
        <f t="shared" si="147"/>
        <v>0</v>
      </c>
      <c r="F200" s="3">
        <f t="shared" si="147"/>
        <v>0</v>
      </c>
      <c r="G200" s="3">
        <f t="shared" si="147"/>
        <v>0</v>
      </c>
      <c r="H200" s="3">
        <f t="shared" si="147"/>
        <v>0</v>
      </c>
      <c r="I200" s="3">
        <f t="shared" ref="I200:V200" si="148">+(I159-I35)</f>
        <v>191.3175984474243</v>
      </c>
      <c r="J200" s="3">
        <f t="shared" si="148"/>
        <v>0</v>
      </c>
      <c r="K200" s="3">
        <f t="shared" si="148"/>
        <v>-409.47979368464303</v>
      </c>
      <c r="L200" s="3">
        <f t="shared" si="148"/>
        <v>0</v>
      </c>
      <c r="M200" s="3">
        <f t="shared" si="148"/>
        <v>-1681.6372149434201</v>
      </c>
      <c r="N200" s="3">
        <f t="shared" si="148"/>
        <v>0</v>
      </c>
      <c r="O200" s="3">
        <f t="shared" si="148"/>
        <v>-382.353823759546</v>
      </c>
      <c r="P200" s="3">
        <f t="shared" si="148"/>
        <v>0</v>
      </c>
      <c r="Q200" s="3">
        <f t="shared" si="148"/>
        <v>0</v>
      </c>
      <c r="R200" s="3">
        <f t="shared" si="148"/>
        <v>0</v>
      </c>
      <c r="S200" s="3">
        <f t="shared" si="148"/>
        <v>-171.51685652470201</v>
      </c>
      <c r="T200" s="3">
        <f t="shared" si="148"/>
        <v>5195.0953960201832</v>
      </c>
      <c r="U200" s="3">
        <f t="shared" si="148"/>
        <v>0</v>
      </c>
      <c r="V200" s="3">
        <f t="shared" si="148"/>
        <v>-210.07905643682597</v>
      </c>
      <c r="X200" s="2">
        <f t="shared" si="84"/>
        <v>2.5313462491184708</v>
      </c>
    </row>
    <row r="201" spans="1:24" x14ac:dyDescent="0.2">
      <c r="A201">
        <v>6004</v>
      </c>
      <c r="B201">
        <v>42</v>
      </c>
      <c r="C201" s="3">
        <f t="shared" ref="C201:H201" si="149">+(C160-C120)</f>
        <v>0</v>
      </c>
      <c r="D201" s="3">
        <f t="shared" si="149"/>
        <v>0</v>
      </c>
      <c r="E201" s="3">
        <f t="shared" si="149"/>
        <v>0</v>
      </c>
      <c r="F201" s="3">
        <f t="shared" si="149"/>
        <v>0</v>
      </c>
      <c r="G201" s="3">
        <f t="shared" si="149"/>
        <v>0</v>
      </c>
      <c r="H201" s="3">
        <f t="shared" si="149"/>
        <v>0</v>
      </c>
      <c r="I201" s="3">
        <f t="shared" ref="I201:V201" si="150">+(I160-I36)</f>
        <v>198.7640869365481</v>
      </c>
      <c r="J201" s="3">
        <f t="shared" si="150"/>
        <v>0</v>
      </c>
      <c r="K201" s="3">
        <f t="shared" si="150"/>
        <v>-154.114569474284</v>
      </c>
      <c r="L201" s="3">
        <f t="shared" si="150"/>
        <v>0</v>
      </c>
      <c r="M201" s="3">
        <f t="shared" si="150"/>
        <v>-2410.1962237074699</v>
      </c>
      <c r="N201" s="3">
        <f t="shared" si="150"/>
        <v>0</v>
      </c>
      <c r="O201" s="3">
        <f t="shared" si="150"/>
        <v>-73.570413471152804</v>
      </c>
      <c r="P201" s="3">
        <f t="shared" si="150"/>
        <v>0</v>
      </c>
      <c r="Q201" s="3">
        <f t="shared" si="150"/>
        <v>0</v>
      </c>
      <c r="R201" s="3">
        <f t="shared" si="150"/>
        <v>0</v>
      </c>
      <c r="S201" s="3">
        <f t="shared" si="150"/>
        <v>-231.023726286618</v>
      </c>
      <c r="T201" s="3">
        <f t="shared" si="150"/>
        <v>5104.3037028953077</v>
      </c>
      <c r="U201" s="3">
        <f t="shared" si="150"/>
        <v>0</v>
      </c>
      <c r="V201" s="3">
        <f t="shared" si="150"/>
        <v>-105.25616750530099</v>
      </c>
      <c r="X201" s="2">
        <f t="shared" si="84"/>
        <v>2.32890668938703</v>
      </c>
    </row>
    <row r="202" spans="1:24" x14ac:dyDescent="0.2">
      <c r="A202">
        <v>6004</v>
      </c>
      <c r="B202">
        <v>43</v>
      </c>
      <c r="C202" s="3">
        <f t="shared" ref="C202:H202" si="151">+(C161-C121)</f>
        <v>0</v>
      </c>
      <c r="D202" s="3">
        <f t="shared" si="151"/>
        <v>0</v>
      </c>
      <c r="E202" s="3">
        <f t="shared" si="151"/>
        <v>0</v>
      </c>
      <c r="F202" s="3">
        <f t="shared" si="151"/>
        <v>0</v>
      </c>
      <c r="G202" s="3">
        <f t="shared" si="151"/>
        <v>0</v>
      </c>
      <c r="H202" s="3">
        <f t="shared" si="151"/>
        <v>0</v>
      </c>
      <c r="I202" s="3">
        <f t="shared" ref="I202:V202" si="152">+(I161-I37)</f>
        <v>197.91396038007389</v>
      </c>
      <c r="J202" s="3">
        <f t="shared" si="152"/>
        <v>0</v>
      </c>
      <c r="K202" s="3">
        <f t="shared" si="152"/>
        <v>-678.61305066972</v>
      </c>
      <c r="L202" s="3">
        <f t="shared" si="152"/>
        <v>0</v>
      </c>
      <c r="M202" s="3">
        <f t="shared" si="152"/>
        <v>-3341.81014634948</v>
      </c>
      <c r="N202" s="3">
        <f t="shared" si="152"/>
        <v>0</v>
      </c>
      <c r="O202" s="3">
        <f t="shared" si="152"/>
        <v>-1462.2482165583399</v>
      </c>
      <c r="P202" s="3">
        <f t="shared" si="152"/>
        <v>0</v>
      </c>
      <c r="Q202" s="3">
        <f t="shared" si="152"/>
        <v>0</v>
      </c>
      <c r="R202" s="3">
        <f t="shared" si="152"/>
        <v>0</v>
      </c>
      <c r="S202" s="3">
        <f t="shared" si="152"/>
        <v>-364.61099038725501</v>
      </c>
      <c r="T202" s="3">
        <f t="shared" si="152"/>
        <v>5229.2514576808326</v>
      </c>
      <c r="U202" s="3">
        <f t="shared" si="152"/>
        <v>0</v>
      </c>
      <c r="V202" s="3">
        <f t="shared" si="152"/>
        <v>785.43053608048911</v>
      </c>
      <c r="X202" s="2">
        <f t="shared" si="84"/>
        <v>0.36531355017660089</v>
      </c>
    </row>
    <row r="203" spans="1:24" x14ac:dyDescent="0.2">
      <c r="A203">
        <v>6004</v>
      </c>
      <c r="B203">
        <v>44</v>
      </c>
      <c r="C203" s="3">
        <f t="shared" ref="C203:H203" si="153">+(C162-C122)</f>
        <v>0</v>
      </c>
      <c r="D203" s="3">
        <f t="shared" si="153"/>
        <v>0</v>
      </c>
      <c r="E203" s="3">
        <f t="shared" si="153"/>
        <v>0</v>
      </c>
      <c r="F203" s="3">
        <f t="shared" si="153"/>
        <v>0</v>
      </c>
      <c r="G203" s="3">
        <f t="shared" si="153"/>
        <v>0</v>
      </c>
      <c r="H203" s="3">
        <f t="shared" si="153"/>
        <v>0</v>
      </c>
      <c r="I203" s="3">
        <f t="shared" ref="I203:V203" si="154">+(I162-I38)</f>
        <v>204.20909170054199</v>
      </c>
      <c r="J203" s="3">
        <f t="shared" si="154"/>
        <v>0</v>
      </c>
      <c r="K203" s="3">
        <f t="shared" si="154"/>
        <v>0</v>
      </c>
      <c r="L203" s="3">
        <f t="shared" si="154"/>
        <v>0</v>
      </c>
      <c r="M203" s="3">
        <f t="shared" si="154"/>
        <v>-1806.8418202958201</v>
      </c>
      <c r="N203" s="3">
        <f t="shared" si="154"/>
        <v>0</v>
      </c>
      <c r="O203" s="3">
        <f t="shared" si="154"/>
        <v>-96.832480039569703</v>
      </c>
      <c r="P203" s="3">
        <f t="shared" si="154"/>
        <v>0</v>
      </c>
      <c r="Q203" s="3">
        <f t="shared" si="154"/>
        <v>0</v>
      </c>
      <c r="R203" s="3">
        <f t="shared" si="154"/>
        <v>0</v>
      </c>
      <c r="S203" s="3">
        <f t="shared" si="154"/>
        <v>-366.76568906766499</v>
      </c>
      <c r="T203" s="3">
        <f t="shared" si="154"/>
        <v>4948.7142749552604</v>
      </c>
      <c r="U203" s="3">
        <f t="shared" si="154"/>
        <v>0</v>
      </c>
      <c r="V203" s="3">
        <f t="shared" si="154"/>
        <v>200.241971651825</v>
      </c>
      <c r="X203" s="2">
        <f t="shared" si="84"/>
        <v>3.0827253489045723</v>
      </c>
    </row>
    <row r="204" spans="1:24" x14ac:dyDescent="0.2">
      <c r="A204">
        <v>6004</v>
      </c>
      <c r="B204">
        <v>45</v>
      </c>
      <c r="C204" s="3">
        <f t="shared" ref="C204:H204" si="155">+(C163-C123)</f>
        <v>0</v>
      </c>
      <c r="D204" s="3">
        <f t="shared" si="155"/>
        <v>0</v>
      </c>
      <c r="E204" s="3">
        <f t="shared" si="155"/>
        <v>0</v>
      </c>
      <c r="F204" s="3">
        <f t="shared" si="155"/>
        <v>0</v>
      </c>
      <c r="G204" s="3">
        <f t="shared" si="155"/>
        <v>0</v>
      </c>
      <c r="H204" s="3">
        <f t="shared" si="155"/>
        <v>0</v>
      </c>
      <c r="I204" s="3">
        <f t="shared" ref="I204:V204" si="156">+(I163-I39)</f>
        <v>-25.387965424052702</v>
      </c>
      <c r="J204" s="3">
        <f t="shared" si="156"/>
        <v>0</v>
      </c>
      <c r="K204" s="3">
        <f t="shared" si="156"/>
        <v>0</v>
      </c>
      <c r="L204" s="3">
        <f t="shared" si="156"/>
        <v>0</v>
      </c>
      <c r="M204" s="3">
        <f t="shared" si="156"/>
        <v>-2725.27103808418</v>
      </c>
      <c r="N204" s="3">
        <f t="shared" si="156"/>
        <v>0</v>
      </c>
      <c r="O204" s="3">
        <f t="shared" si="156"/>
        <v>-99.568559673401197</v>
      </c>
      <c r="P204" s="3">
        <f t="shared" si="156"/>
        <v>0</v>
      </c>
      <c r="Q204" s="3">
        <f t="shared" si="156"/>
        <v>0</v>
      </c>
      <c r="R204" s="3">
        <f t="shared" si="156"/>
        <v>0</v>
      </c>
      <c r="S204" s="3">
        <f t="shared" si="156"/>
        <v>-370.550234537618</v>
      </c>
      <c r="T204" s="3">
        <f t="shared" si="156"/>
        <v>-616.73065232768397</v>
      </c>
      <c r="U204" s="3">
        <f t="shared" si="156"/>
        <v>0</v>
      </c>
      <c r="V204" s="3">
        <f t="shared" si="156"/>
        <v>-1284.1638455111399</v>
      </c>
      <c r="X204" s="2">
        <f t="shared" si="84"/>
        <v>-5.1216722955580751</v>
      </c>
    </row>
    <row r="205" spans="1:24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X205" s="1"/>
    </row>
    <row r="206" spans="1:24" x14ac:dyDescent="0.2">
      <c r="C206" s="3">
        <f t="shared" ref="C206" si="157">+SUM(C167:C204)</f>
        <v>0</v>
      </c>
      <c r="D206" s="3">
        <f t="shared" ref="D206" si="158">+SUM(D167:D204)</f>
        <v>0</v>
      </c>
      <c r="E206" s="3">
        <f t="shared" ref="E206:H206" si="159">+SUM(E167:E204)</f>
        <v>0</v>
      </c>
      <c r="F206" s="3">
        <f t="shared" si="159"/>
        <v>0</v>
      </c>
      <c r="G206" s="3">
        <f t="shared" si="159"/>
        <v>0</v>
      </c>
      <c r="H206" s="3">
        <f t="shared" si="159"/>
        <v>0</v>
      </c>
      <c r="I206" s="3">
        <f>+SUM(I167:I204)</f>
        <v>3590.9190155184347</v>
      </c>
      <c r="J206" s="3">
        <f t="shared" ref="J206:L206" si="160">+SUM(J167:J204)</f>
        <v>0</v>
      </c>
      <c r="K206" s="3">
        <f t="shared" si="160"/>
        <v>-15264.061112270556</v>
      </c>
      <c r="L206" s="3">
        <f t="shared" si="160"/>
        <v>0</v>
      </c>
      <c r="M206" s="3">
        <f>+SUM(M167:M204)</f>
        <v>-55752.630703748669</v>
      </c>
      <c r="N206" s="3">
        <f t="shared" ref="N206:V206" si="161">+SUM(N167:N204)</f>
        <v>0</v>
      </c>
      <c r="O206" s="3">
        <f t="shared" si="161"/>
        <v>-3748.7551602891185</v>
      </c>
      <c r="P206" s="3">
        <f t="shared" si="161"/>
        <v>-12379.050535805764</v>
      </c>
      <c r="Q206" s="3">
        <f t="shared" si="161"/>
        <v>2602.0559505695137</v>
      </c>
      <c r="R206" s="3">
        <f t="shared" si="161"/>
        <v>0</v>
      </c>
      <c r="S206" s="3">
        <f t="shared" si="161"/>
        <v>-15500.130743768366</v>
      </c>
      <c r="T206" s="3">
        <f t="shared" si="161"/>
        <v>98690.775235440175</v>
      </c>
      <c r="U206" s="3">
        <f t="shared" si="161"/>
        <v>-311.15301856044664</v>
      </c>
      <c r="V206" s="3">
        <f t="shared" si="161"/>
        <v>52961.024164829672</v>
      </c>
      <c r="W206" s="3"/>
      <c r="X206" s="2">
        <f>+SUM(X167:X204)</f>
        <v>54.888993091914855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3B368-9C17-B84D-BF39-5A668B77225B}">
  <dimension ref="A1:X206"/>
  <sheetViews>
    <sheetView zoomScale="85" zoomScaleNormal="60" workbookViewId="0">
      <pane xSplit="1" ySplit="1" topLeftCell="B77" activePane="bottomRight" state="frozen"/>
      <selection pane="topRight" activeCell="B1" sqref="B1"/>
      <selection pane="bottomLeft" activeCell="A2" sqref="A2"/>
      <selection pane="bottomRight" activeCell="X40" sqref="X40"/>
    </sheetView>
  </sheetViews>
  <sheetFormatPr baseColWidth="10" defaultRowHeight="16" x14ac:dyDescent="0.2"/>
  <cols>
    <col min="3" max="8" width="11" bestFit="1" customWidth="1"/>
    <col min="9" max="9" width="13.5" bestFit="1" customWidth="1"/>
    <col min="10" max="10" width="11" bestFit="1" customWidth="1"/>
    <col min="11" max="11" width="14" bestFit="1" customWidth="1"/>
    <col min="12" max="12" width="11" bestFit="1" customWidth="1"/>
    <col min="13" max="13" width="14" bestFit="1" customWidth="1"/>
    <col min="14" max="14" width="16.1640625" bestFit="1" customWidth="1"/>
    <col min="15" max="15" width="14.6640625" bestFit="1" customWidth="1"/>
    <col min="16" max="16" width="14" bestFit="1" customWidth="1"/>
    <col min="17" max="17" width="13.5" bestFit="1" customWidth="1"/>
    <col min="18" max="18" width="11" bestFit="1" customWidth="1"/>
    <col min="19" max="19" width="14" bestFit="1" customWidth="1"/>
    <col min="20" max="20" width="14.6640625" bestFit="1" customWidth="1"/>
    <col min="21" max="21" width="12.83203125" bestFit="1" customWidth="1"/>
    <col min="22" max="22" width="14.6640625" bestFit="1" customWidth="1"/>
  </cols>
  <sheetData>
    <row r="1" spans="1:24" ht="114" customHeight="1" x14ac:dyDescent="0.2">
      <c r="A1" s="6" t="s">
        <v>1</v>
      </c>
      <c r="B1" s="6" t="s">
        <v>0</v>
      </c>
      <c r="C1" s="8" t="s">
        <v>22</v>
      </c>
      <c r="D1" s="8" t="s">
        <v>23</v>
      </c>
      <c r="E1" s="8" t="s">
        <v>24</v>
      </c>
      <c r="F1" s="8" t="s">
        <v>25</v>
      </c>
      <c r="G1" s="8" t="s">
        <v>26</v>
      </c>
      <c r="H1" s="8" t="s">
        <v>27</v>
      </c>
      <c r="I1" s="8" t="s">
        <v>28</v>
      </c>
      <c r="J1" s="8" t="s">
        <v>29</v>
      </c>
      <c r="K1" s="8" t="s">
        <v>30</v>
      </c>
      <c r="L1" s="8" t="s">
        <v>31</v>
      </c>
      <c r="M1" s="8" t="s">
        <v>32</v>
      </c>
      <c r="N1" s="8" t="s">
        <v>33</v>
      </c>
      <c r="O1" s="8" t="s">
        <v>34</v>
      </c>
      <c r="P1" s="8" t="s">
        <v>35</v>
      </c>
      <c r="Q1" s="8" t="s">
        <v>36</v>
      </c>
      <c r="R1" s="8" t="s">
        <v>37</v>
      </c>
      <c r="S1" s="8" t="s">
        <v>38</v>
      </c>
      <c r="T1" s="8" t="s">
        <v>39</v>
      </c>
      <c r="U1" s="8" t="s">
        <v>40</v>
      </c>
      <c r="V1" s="8" t="s">
        <v>41</v>
      </c>
    </row>
    <row r="2" spans="1:24" x14ac:dyDescent="0.2">
      <c r="A2">
        <v>6003</v>
      </c>
      <c r="B2">
        <v>8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0.84460911164127905</v>
      </c>
      <c r="J2">
        <v>19.177500187377401</v>
      </c>
      <c r="K2">
        <v>814.12869378820301</v>
      </c>
      <c r="L2">
        <v>0</v>
      </c>
      <c r="M2">
        <v>3116.6736708426502</v>
      </c>
      <c r="N2">
        <v>0</v>
      </c>
      <c r="O2">
        <v>204.83624376330101</v>
      </c>
      <c r="P2">
        <v>925.72810593367296</v>
      </c>
      <c r="Q2">
        <v>223.90245882797299</v>
      </c>
      <c r="R2">
        <v>0</v>
      </c>
      <c r="S2">
        <v>1772.6743159532</v>
      </c>
      <c r="T2">
        <v>111.453737883367</v>
      </c>
      <c r="U2">
        <v>1E-3</v>
      </c>
      <c r="V2">
        <v>287.67333234313799</v>
      </c>
      <c r="X2" s="3">
        <f>+SUM(C2:V2)</f>
        <v>7477.0936686345231</v>
      </c>
    </row>
    <row r="3" spans="1:24" x14ac:dyDescent="0.2">
      <c r="A3">
        <v>6003</v>
      </c>
      <c r="B3">
        <v>9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0.85419239258086899</v>
      </c>
      <c r="J3">
        <v>17.803062031316099</v>
      </c>
      <c r="K3">
        <v>631.00828593783297</v>
      </c>
      <c r="L3">
        <v>0</v>
      </c>
      <c r="M3">
        <v>2962.8961543927799</v>
      </c>
      <c r="N3">
        <v>0</v>
      </c>
      <c r="O3">
        <v>202.01262229376701</v>
      </c>
      <c r="P3">
        <v>910.69299848525998</v>
      </c>
      <c r="Q3">
        <v>222.43414824850299</v>
      </c>
      <c r="R3">
        <v>0</v>
      </c>
      <c r="S3">
        <v>2527.2184058615398</v>
      </c>
      <c r="T3">
        <v>119.899179651987</v>
      </c>
      <c r="U3">
        <v>1E-3</v>
      </c>
      <c r="V3">
        <v>352.09085595232301</v>
      </c>
      <c r="X3" s="3">
        <f t="shared" ref="X3:X39" si="0">+SUM(C3:V3)</f>
        <v>7946.9109052478898</v>
      </c>
    </row>
    <row r="4" spans="1:24" x14ac:dyDescent="0.2">
      <c r="A4">
        <v>6003</v>
      </c>
      <c r="B4">
        <v>10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0.86229974264404696</v>
      </c>
      <c r="J4">
        <v>16.912008990252001</v>
      </c>
      <c r="K4">
        <v>632.97299061853005</v>
      </c>
      <c r="L4">
        <v>0</v>
      </c>
      <c r="M4">
        <v>3389.1000984082998</v>
      </c>
      <c r="N4">
        <v>0</v>
      </c>
      <c r="O4">
        <v>197.622223215752</v>
      </c>
      <c r="P4">
        <v>890.98365806386698</v>
      </c>
      <c r="Q4">
        <v>120.572740913239</v>
      </c>
      <c r="R4">
        <v>0</v>
      </c>
      <c r="S4">
        <v>2544.5595271020602</v>
      </c>
      <c r="T4">
        <v>118.04528265177601</v>
      </c>
      <c r="U4">
        <v>1E-3</v>
      </c>
      <c r="V4">
        <v>346.646780586435</v>
      </c>
      <c r="X4" s="3">
        <f t="shared" si="0"/>
        <v>8258.2786102928549</v>
      </c>
    </row>
    <row r="5" spans="1:24" x14ac:dyDescent="0.2">
      <c r="A5">
        <v>6003</v>
      </c>
      <c r="B5">
        <v>11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1.5947869187525501</v>
      </c>
      <c r="J5">
        <v>106.60148628951499</v>
      </c>
      <c r="K5">
        <v>633.61820979783795</v>
      </c>
      <c r="L5">
        <v>0</v>
      </c>
      <c r="M5">
        <v>3655.6167180149</v>
      </c>
      <c r="N5">
        <v>0</v>
      </c>
      <c r="O5">
        <v>86.003470431586607</v>
      </c>
      <c r="P5">
        <v>865.81293829133404</v>
      </c>
      <c r="Q5">
        <v>114.805833393649</v>
      </c>
      <c r="R5">
        <v>0</v>
      </c>
      <c r="S5">
        <v>2550.2544410120299</v>
      </c>
      <c r="T5">
        <v>116.043177293382</v>
      </c>
      <c r="U5">
        <v>1E-3</v>
      </c>
      <c r="V5">
        <v>402.57651263033</v>
      </c>
      <c r="X5" s="3">
        <f t="shared" si="0"/>
        <v>8532.9285740733158</v>
      </c>
    </row>
    <row r="6" spans="1:24" x14ac:dyDescent="0.2">
      <c r="A6">
        <v>6003</v>
      </c>
      <c r="B6">
        <v>12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2.3489354403846399</v>
      </c>
      <c r="J6">
        <v>190.349646877532</v>
      </c>
      <c r="K6">
        <v>634.55051138954002</v>
      </c>
      <c r="L6">
        <v>0</v>
      </c>
      <c r="M6">
        <v>4039.85164318941</v>
      </c>
      <c r="N6">
        <v>0</v>
      </c>
      <c r="O6">
        <v>69.385628661392403</v>
      </c>
      <c r="P6">
        <v>846.73484628895903</v>
      </c>
      <c r="Q6">
        <v>114.805833393649</v>
      </c>
      <c r="R6">
        <v>0</v>
      </c>
      <c r="S6">
        <v>2558.4832374786401</v>
      </c>
      <c r="T6">
        <v>113.392747459365</v>
      </c>
      <c r="U6">
        <v>1E-3</v>
      </c>
      <c r="V6">
        <v>384.14564891130101</v>
      </c>
      <c r="X6" s="3">
        <f t="shared" si="0"/>
        <v>8954.0496790901743</v>
      </c>
    </row>
    <row r="7" spans="1:24" x14ac:dyDescent="0.2">
      <c r="A7">
        <v>6003</v>
      </c>
      <c r="B7">
        <v>13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3.1244823711743699</v>
      </c>
      <c r="J7">
        <v>12.3744733265018</v>
      </c>
      <c r="K7">
        <v>635.56038739427299</v>
      </c>
      <c r="L7">
        <v>0</v>
      </c>
      <c r="M7">
        <v>4160.8189801564504</v>
      </c>
      <c r="N7">
        <v>0</v>
      </c>
      <c r="O7">
        <v>68.167040177361002</v>
      </c>
      <c r="P7">
        <v>828.092498548923</v>
      </c>
      <c r="Q7">
        <v>114.805833393649</v>
      </c>
      <c r="R7">
        <v>0</v>
      </c>
      <c r="S7">
        <v>2528.0960864078102</v>
      </c>
      <c r="T7">
        <v>111.227098487346</v>
      </c>
      <c r="U7">
        <v>1E-3</v>
      </c>
      <c r="V7">
        <v>415.26097449515498</v>
      </c>
      <c r="X7" s="3">
        <f t="shared" si="0"/>
        <v>8877.5288547586442</v>
      </c>
    </row>
    <row r="8" spans="1:24" x14ac:dyDescent="0.2">
      <c r="A8">
        <v>6003</v>
      </c>
      <c r="B8">
        <v>14</v>
      </c>
      <c r="C8">
        <v>0</v>
      </c>
      <c r="D8">
        <v>0</v>
      </c>
      <c r="E8">
        <v>0</v>
      </c>
      <c r="F8">
        <v>37.436613225352502</v>
      </c>
      <c r="G8">
        <v>0</v>
      </c>
      <c r="H8">
        <v>0</v>
      </c>
      <c r="I8">
        <v>3.92811951368164</v>
      </c>
      <c r="J8">
        <v>10.423323092292801</v>
      </c>
      <c r="K8">
        <v>638.993307371127</v>
      </c>
      <c r="L8">
        <v>0</v>
      </c>
      <c r="M8">
        <v>3993.9563819098498</v>
      </c>
      <c r="N8">
        <v>0</v>
      </c>
      <c r="O8">
        <v>67.581726521747996</v>
      </c>
      <c r="P8">
        <v>809.87594264191603</v>
      </c>
      <c r="Q8">
        <v>114.805833393649</v>
      </c>
      <c r="R8">
        <v>0</v>
      </c>
      <c r="S8">
        <v>2558.3961524240699</v>
      </c>
      <c r="T8">
        <v>110.09588542419699</v>
      </c>
      <c r="U8">
        <v>1E-3</v>
      </c>
      <c r="V8">
        <v>409.00064091021898</v>
      </c>
      <c r="X8" s="3">
        <f t="shared" si="0"/>
        <v>8754.4949264281022</v>
      </c>
    </row>
    <row r="9" spans="1:24" x14ac:dyDescent="0.2">
      <c r="A9">
        <v>6003</v>
      </c>
      <c r="B9">
        <v>15</v>
      </c>
      <c r="C9">
        <v>0</v>
      </c>
      <c r="D9">
        <v>0</v>
      </c>
      <c r="E9">
        <v>0</v>
      </c>
      <c r="F9">
        <v>74.388636633166101</v>
      </c>
      <c r="G9">
        <v>0</v>
      </c>
      <c r="H9">
        <v>0</v>
      </c>
      <c r="I9">
        <v>4.7665638748546302</v>
      </c>
      <c r="J9">
        <v>8.2431505269302505</v>
      </c>
      <c r="K9">
        <v>642.72418969815897</v>
      </c>
      <c r="L9">
        <v>0</v>
      </c>
      <c r="M9">
        <v>3905.1211810525401</v>
      </c>
      <c r="N9">
        <v>0</v>
      </c>
      <c r="O9">
        <v>67.066274545539002</v>
      </c>
      <c r="P9">
        <v>792.07545343800405</v>
      </c>
      <c r="Q9">
        <v>114.805833393649</v>
      </c>
      <c r="R9">
        <v>0</v>
      </c>
      <c r="S9">
        <v>2591.3261308594301</v>
      </c>
      <c r="T9">
        <v>112.455776840474</v>
      </c>
      <c r="U9">
        <v>1E-3</v>
      </c>
      <c r="V9">
        <v>394.50069313766102</v>
      </c>
      <c r="X9" s="3">
        <f t="shared" si="0"/>
        <v>8707.4748840004086</v>
      </c>
    </row>
    <row r="10" spans="1:24" x14ac:dyDescent="0.2">
      <c r="A10">
        <v>6003</v>
      </c>
      <c r="B10">
        <v>16</v>
      </c>
      <c r="C10">
        <v>0</v>
      </c>
      <c r="D10">
        <v>0</v>
      </c>
      <c r="E10">
        <v>0</v>
      </c>
      <c r="F10">
        <v>110.901155786489</v>
      </c>
      <c r="G10">
        <v>0</v>
      </c>
      <c r="H10">
        <v>0</v>
      </c>
      <c r="I10">
        <v>5.6455099927795596</v>
      </c>
      <c r="J10">
        <v>7.6284696234662697</v>
      </c>
      <c r="K10">
        <v>646.65572268061601</v>
      </c>
      <c r="L10">
        <v>0</v>
      </c>
      <c r="M10">
        <v>3932.32947279059</v>
      </c>
      <c r="N10">
        <v>0</v>
      </c>
      <c r="O10">
        <v>66.593020190332396</v>
      </c>
      <c r="P10">
        <v>774.68152805552302</v>
      </c>
      <c r="Q10">
        <v>114.805833393649</v>
      </c>
      <c r="R10">
        <v>0</v>
      </c>
      <c r="S10">
        <v>2614.1801366203499</v>
      </c>
      <c r="T10">
        <v>114.958659294518</v>
      </c>
      <c r="U10">
        <v>1E-3</v>
      </c>
      <c r="V10">
        <v>380.113705492799</v>
      </c>
      <c r="X10" s="3">
        <f t="shared" si="0"/>
        <v>8768.4942139211125</v>
      </c>
    </row>
    <row r="11" spans="1:24" x14ac:dyDescent="0.2">
      <c r="A11">
        <v>6003</v>
      </c>
      <c r="B11">
        <v>17</v>
      </c>
      <c r="C11">
        <v>0</v>
      </c>
      <c r="D11">
        <v>0</v>
      </c>
      <c r="E11">
        <v>0</v>
      </c>
      <c r="F11">
        <v>147.017305786912</v>
      </c>
      <c r="G11">
        <v>0</v>
      </c>
      <c r="H11">
        <v>0</v>
      </c>
      <c r="I11">
        <v>6.57425472490457</v>
      </c>
      <c r="J11">
        <v>6.9643068955528502</v>
      </c>
      <c r="K11">
        <v>650.89148680011704</v>
      </c>
      <c r="L11">
        <v>0</v>
      </c>
      <c r="M11">
        <v>3955.3719656122298</v>
      </c>
      <c r="N11">
        <v>0</v>
      </c>
      <c r="O11">
        <v>66.183950046577095</v>
      </c>
      <c r="P11">
        <v>757.684880304883</v>
      </c>
      <c r="Q11">
        <v>114.805833393649</v>
      </c>
      <c r="R11">
        <v>0</v>
      </c>
      <c r="S11">
        <v>2600.1641774155901</v>
      </c>
      <c r="T11">
        <v>117.048517815681</v>
      </c>
      <c r="U11">
        <v>1E-3</v>
      </c>
      <c r="V11">
        <v>370.15708260951601</v>
      </c>
      <c r="X11" s="3">
        <f t="shared" si="0"/>
        <v>8792.8647614056117</v>
      </c>
    </row>
    <row r="12" spans="1:24" x14ac:dyDescent="0.2">
      <c r="A12">
        <v>6003</v>
      </c>
      <c r="B12">
        <v>18</v>
      </c>
      <c r="C12">
        <v>0</v>
      </c>
      <c r="D12">
        <v>0</v>
      </c>
      <c r="E12">
        <v>0</v>
      </c>
      <c r="F12">
        <v>182.77832198927999</v>
      </c>
      <c r="G12">
        <v>0</v>
      </c>
      <c r="H12">
        <v>0</v>
      </c>
      <c r="I12">
        <v>7.56120242109239</v>
      </c>
      <c r="J12">
        <v>4.38023132703945</v>
      </c>
      <c r="K12">
        <v>655.45244557869898</v>
      </c>
      <c r="L12">
        <v>0</v>
      </c>
      <c r="M12">
        <v>4050.0209448219498</v>
      </c>
      <c r="N12">
        <v>0</v>
      </c>
      <c r="O12">
        <v>65.839989489816404</v>
      </c>
      <c r="P12">
        <v>741.07643664768204</v>
      </c>
      <c r="Q12">
        <v>114.805833393649</v>
      </c>
      <c r="R12">
        <v>0</v>
      </c>
      <c r="S12">
        <v>2634.9133026536001</v>
      </c>
      <c r="T12">
        <v>120.38116767250899</v>
      </c>
      <c r="U12">
        <v>1E-3</v>
      </c>
      <c r="V12">
        <v>355.51885037409198</v>
      </c>
      <c r="X12" s="3">
        <f t="shared" si="0"/>
        <v>8932.7297263694109</v>
      </c>
    </row>
    <row r="13" spans="1:24" x14ac:dyDescent="0.2">
      <c r="A13">
        <v>6003</v>
      </c>
      <c r="B13">
        <v>19</v>
      </c>
      <c r="C13">
        <v>0</v>
      </c>
      <c r="D13">
        <v>0</v>
      </c>
      <c r="E13">
        <v>0</v>
      </c>
      <c r="F13">
        <v>218.223578960276</v>
      </c>
      <c r="G13">
        <v>0</v>
      </c>
      <c r="H13">
        <v>0</v>
      </c>
      <c r="I13">
        <v>8.6149193399782806</v>
      </c>
      <c r="J13">
        <v>4.23209472400168</v>
      </c>
      <c r="K13">
        <v>660.33155579944605</v>
      </c>
      <c r="L13">
        <v>0</v>
      </c>
      <c r="M13">
        <v>4157.8894571272103</v>
      </c>
      <c r="N13">
        <v>0</v>
      </c>
      <c r="O13">
        <v>65.555496758262805</v>
      </c>
      <c r="P13">
        <v>724.84733013539403</v>
      </c>
      <c r="Q13">
        <v>114.805833393649</v>
      </c>
      <c r="R13">
        <v>0</v>
      </c>
      <c r="S13">
        <v>2677.9779131852101</v>
      </c>
      <c r="T13">
        <v>118.359906736976</v>
      </c>
      <c r="U13">
        <v>1E-3</v>
      </c>
      <c r="V13">
        <v>354.727582361381</v>
      </c>
      <c r="X13" s="3">
        <f t="shared" si="0"/>
        <v>9105.5666685217875</v>
      </c>
    </row>
    <row r="14" spans="1:24" x14ac:dyDescent="0.2">
      <c r="A14">
        <v>6003</v>
      </c>
      <c r="B14">
        <v>20</v>
      </c>
      <c r="C14">
        <v>0</v>
      </c>
      <c r="D14">
        <v>0</v>
      </c>
      <c r="E14">
        <v>0</v>
      </c>
      <c r="F14">
        <v>253.390616190462</v>
      </c>
      <c r="G14">
        <v>0</v>
      </c>
      <c r="H14">
        <v>0</v>
      </c>
      <c r="I14">
        <v>9.7438751602688694</v>
      </c>
      <c r="J14">
        <v>4.13543354585582</v>
      </c>
      <c r="K14">
        <v>665.57297490583505</v>
      </c>
      <c r="L14">
        <v>0</v>
      </c>
      <c r="M14">
        <v>4327.1096217987697</v>
      </c>
      <c r="N14">
        <v>0</v>
      </c>
      <c r="O14">
        <v>65.336503008094496</v>
      </c>
      <c r="P14">
        <v>708.17026941172196</v>
      </c>
      <c r="Q14">
        <v>114.805833393649</v>
      </c>
      <c r="R14">
        <v>0</v>
      </c>
      <c r="S14">
        <v>2724.2403795442901</v>
      </c>
      <c r="T14">
        <v>116.434802966913</v>
      </c>
      <c r="U14">
        <v>1E-3</v>
      </c>
      <c r="V14">
        <v>354.364235503207</v>
      </c>
      <c r="X14" s="3">
        <f t="shared" si="0"/>
        <v>9343.3055454290661</v>
      </c>
    </row>
    <row r="15" spans="1:24" x14ac:dyDescent="0.2">
      <c r="A15">
        <v>6003</v>
      </c>
      <c r="B15">
        <v>21</v>
      </c>
      <c r="C15">
        <v>0</v>
      </c>
      <c r="D15">
        <v>0</v>
      </c>
      <c r="E15">
        <v>0</v>
      </c>
      <c r="F15">
        <v>288.31515139878201</v>
      </c>
      <c r="G15">
        <v>0</v>
      </c>
      <c r="H15">
        <v>0</v>
      </c>
      <c r="I15">
        <v>10.9532366410596</v>
      </c>
      <c r="J15">
        <v>3.5400321525097702</v>
      </c>
      <c r="K15">
        <v>671.15639229077897</v>
      </c>
      <c r="L15">
        <v>0</v>
      </c>
      <c r="M15">
        <v>4441.5286821248701</v>
      </c>
      <c r="N15">
        <v>0</v>
      </c>
      <c r="O15">
        <v>65.174405786243398</v>
      </c>
      <c r="P15">
        <v>692.69274099181405</v>
      </c>
      <c r="Q15">
        <v>114.805833393649</v>
      </c>
      <c r="R15">
        <v>0</v>
      </c>
      <c r="S15">
        <v>2758.0518228454598</v>
      </c>
      <c r="T15">
        <v>114.243359517765</v>
      </c>
      <c r="U15">
        <v>1E-3</v>
      </c>
      <c r="V15">
        <v>354.88943630150499</v>
      </c>
      <c r="X15" s="3">
        <f t="shared" si="0"/>
        <v>9515.352093444435</v>
      </c>
    </row>
    <row r="16" spans="1:24" x14ac:dyDescent="0.2">
      <c r="A16">
        <v>6003</v>
      </c>
      <c r="B16">
        <v>22</v>
      </c>
      <c r="C16">
        <v>0</v>
      </c>
      <c r="D16">
        <v>0</v>
      </c>
      <c r="E16">
        <v>0</v>
      </c>
      <c r="F16">
        <v>323.031080703226</v>
      </c>
      <c r="G16">
        <v>0</v>
      </c>
      <c r="H16">
        <v>0</v>
      </c>
      <c r="I16">
        <v>12.252314931888399</v>
      </c>
      <c r="J16">
        <v>3.4591777053213901</v>
      </c>
      <c r="K16">
        <v>677.16961685676904</v>
      </c>
      <c r="L16">
        <v>0</v>
      </c>
      <c r="M16">
        <v>4596.4988323457201</v>
      </c>
      <c r="N16">
        <v>0</v>
      </c>
      <c r="O16">
        <v>65.084140086318897</v>
      </c>
      <c r="P16">
        <v>666.10437484661099</v>
      </c>
      <c r="Q16">
        <v>114.805833393649</v>
      </c>
      <c r="R16">
        <v>0</v>
      </c>
      <c r="S16">
        <v>2811.12649471336</v>
      </c>
      <c r="T16">
        <v>111.63403757502201</v>
      </c>
      <c r="U16">
        <v>1E-3</v>
      </c>
      <c r="V16">
        <v>356.91528570942597</v>
      </c>
      <c r="X16" s="3">
        <f t="shared" si="0"/>
        <v>9738.0821888673127</v>
      </c>
    </row>
    <row r="17" spans="1:24" x14ac:dyDescent="0.2">
      <c r="A17">
        <v>6003</v>
      </c>
      <c r="B17">
        <v>23</v>
      </c>
      <c r="C17">
        <v>0</v>
      </c>
      <c r="D17">
        <v>0</v>
      </c>
      <c r="E17">
        <v>0</v>
      </c>
      <c r="F17">
        <v>357.57046428957102</v>
      </c>
      <c r="G17">
        <v>0</v>
      </c>
      <c r="H17">
        <v>0</v>
      </c>
      <c r="I17">
        <v>13.647615309926501</v>
      </c>
      <c r="J17">
        <v>2.8460393493501299</v>
      </c>
      <c r="K17">
        <v>587.12254875960798</v>
      </c>
      <c r="L17">
        <v>0</v>
      </c>
      <c r="M17">
        <v>4768.5385939847602</v>
      </c>
      <c r="N17">
        <v>0</v>
      </c>
      <c r="O17">
        <v>65.066794750316205</v>
      </c>
      <c r="P17">
        <v>651.58763288479895</v>
      </c>
      <c r="Q17">
        <v>114.805833393649</v>
      </c>
      <c r="R17">
        <v>0</v>
      </c>
      <c r="S17">
        <v>2870.2214141357699</v>
      </c>
      <c r="T17">
        <v>109.084312624148</v>
      </c>
      <c r="U17">
        <v>1E-3</v>
      </c>
      <c r="V17">
        <v>359.99979403067101</v>
      </c>
      <c r="X17" s="3">
        <f t="shared" si="0"/>
        <v>9900.4920435125696</v>
      </c>
    </row>
    <row r="18" spans="1:24" x14ac:dyDescent="0.2">
      <c r="A18">
        <v>6003</v>
      </c>
      <c r="B18">
        <v>24</v>
      </c>
      <c r="C18">
        <v>0</v>
      </c>
      <c r="D18">
        <v>0</v>
      </c>
      <c r="E18">
        <v>0</v>
      </c>
      <c r="F18">
        <v>391.93951663898503</v>
      </c>
      <c r="G18">
        <v>0</v>
      </c>
      <c r="H18">
        <v>0</v>
      </c>
      <c r="I18">
        <v>15.1446973407506</v>
      </c>
      <c r="J18">
        <v>2.1344643991660699</v>
      </c>
      <c r="K18">
        <v>594.05655630355295</v>
      </c>
      <c r="L18">
        <v>0</v>
      </c>
      <c r="M18">
        <v>4857.50587868204</v>
      </c>
      <c r="N18">
        <v>0</v>
      </c>
      <c r="O18">
        <v>65.118617171233197</v>
      </c>
      <c r="P18">
        <v>637.40245357007996</v>
      </c>
      <c r="Q18">
        <v>114.805833393649</v>
      </c>
      <c r="R18">
        <v>0</v>
      </c>
      <c r="S18">
        <v>2933.8495128540899</v>
      </c>
      <c r="T18">
        <v>106.59282349086401</v>
      </c>
      <c r="U18">
        <v>1E-3</v>
      </c>
      <c r="V18">
        <v>363.70584560006398</v>
      </c>
      <c r="X18" s="3">
        <f t="shared" si="0"/>
        <v>10082.257199444473</v>
      </c>
    </row>
    <row r="19" spans="1:24" x14ac:dyDescent="0.2">
      <c r="A19">
        <v>6003</v>
      </c>
      <c r="B19">
        <v>25</v>
      </c>
      <c r="C19">
        <v>0</v>
      </c>
      <c r="D19">
        <v>0</v>
      </c>
      <c r="E19">
        <v>0</v>
      </c>
      <c r="F19">
        <v>426.11007360365801</v>
      </c>
      <c r="G19">
        <v>0</v>
      </c>
      <c r="H19">
        <v>0</v>
      </c>
      <c r="I19">
        <v>16.7480385331747</v>
      </c>
      <c r="J19">
        <v>2.2632098267453098</v>
      </c>
      <c r="K19">
        <v>445.915541090256</v>
      </c>
      <c r="L19">
        <v>0</v>
      </c>
      <c r="M19">
        <v>5012.2063769985198</v>
      </c>
      <c r="N19">
        <v>0</v>
      </c>
      <c r="O19">
        <v>65.231029842730607</v>
      </c>
      <c r="P19">
        <v>678.26570438222598</v>
      </c>
      <c r="Q19">
        <v>114.805833393649</v>
      </c>
      <c r="R19">
        <v>0</v>
      </c>
      <c r="S19">
        <v>3022.6262174027802</v>
      </c>
      <c r="T19">
        <v>104.158240031223</v>
      </c>
      <c r="U19">
        <v>1E-3</v>
      </c>
      <c r="V19">
        <v>372.43428858528199</v>
      </c>
      <c r="X19" s="3">
        <f t="shared" si="0"/>
        <v>10260.765553690246</v>
      </c>
    </row>
    <row r="20" spans="1:24" x14ac:dyDescent="0.2">
      <c r="A20">
        <v>6003</v>
      </c>
      <c r="B20">
        <v>26</v>
      </c>
      <c r="C20">
        <v>0</v>
      </c>
      <c r="D20">
        <v>0</v>
      </c>
      <c r="E20">
        <v>0</v>
      </c>
      <c r="F20">
        <v>459.89296433447902</v>
      </c>
      <c r="G20">
        <v>0</v>
      </c>
      <c r="H20">
        <v>0</v>
      </c>
      <c r="I20">
        <v>18.455382965988299</v>
      </c>
      <c r="J20">
        <v>2.2333927654269399</v>
      </c>
      <c r="K20">
        <v>456.304670543388</v>
      </c>
      <c r="L20">
        <v>0</v>
      </c>
      <c r="M20">
        <v>5170.8800708874096</v>
      </c>
      <c r="N20">
        <v>0</v>
      </c>
      <c r="O20">
        <v>65.360987861815801</v>
      </c>
      <c r="P20">
        <v>680.10351990896299</v>
      </c>
      <c r="Q20">
        <v>114.805833393649</v>
      </c>
      <c r="R20">
        <v>0</v>
      </c>
      <c r="S20">
        <v>3091.1938383348702</v>
      </c>
      <c r="T20">
        <v>104.150558985126</v>
      </c>
      <c r="U20">
        <v>1E-3</v>
      </c>
      <c r="V20">
        <v>363.927877684338</v>
      </c>
      <c r="X20" s="3">
        <f t="shared" si="0"/>
        <v>10527.310097665453</v>
      </c>
    </row>
    <row r="21" spans="1:24" x14ac:dyDescent="0.2">
      <c r="A21">
        <v>6003</v>
      </c>
      <c r="B21">
        <v>27</v>
      </c>
      <c r="C21">
        <v>0</v>
      </c>
      <c r="D21">
        <v>0</v>
      </c>
      <c r="E21">
        <v>0</v>
      </c>
      <c r="F21">
        <v>493.21852449538102</v>
      </c>
      <c r="G21">
        <v>0</v>
      </c>
      <c r="H21">
        <v>0</v>
      </c>
      <c r="I21">
        <v>20.2713413153818</v>
      </c>
      <c r="J21">
        <v>1.8379516814330601</v>
      </c>
      <c r="K21">
        <v>467.05491990683998</v>
      </c>
      <c r="L21">
        <v>0</v>
      </c>
      <c r="M21">
        <v>5335.5881068659501</v>
      </c>
      <c r="N21">
        <v>0</v>
      </c>
      <c r="O21">
        <v>65.510777298580905</v>
      </c>
      <c r="P21">
        <v>685.94803726851501</v>
      </c>
      <c r="Q21">
        <v>114.805833393649</v>
      </c>
      <c r="R21">
        <v>0</v>
      </c>
      <c r="S21">
        <v>3162.1213275395398</v>
      </c>
      <c r="T21">
        <v>104.169435139614</v>
      </c>
      <c r="U21">
        <v>1E-3</v>
      </c>
      <c r="V21">
        <v>358.17739180949098</v>
      </c>
      <c r="X21" s="3">
        <f t="shared" si="0"/>
        <v>10808.704646714377</v>
      </c>
    </row>
    <row r="22" spans="1:24" x14ac:dyDescent="0.2">
      <c r="A22">
        <v>6003</v>
      </c>
      <c r="B22">
        <v>28</v>
      </c>
      <c r="C22">
        <v>0</v>
      </c>
      <c r="D22">
        <v>0</v>
      </c>
      <c r="E22">
        <v>0</v>
      </c>
      <c r="F22">
        <v>525.97710924220701</v>
      </c>
      <c r="G22">
        <v>0</v>
      </c>
      <c r="H22">
        <v>0</v>
      </c>
      <c r="I22">
        <v>22.196203952428402</v>
      </c>
      <c r="J22">
        <v>1.8142123718710099</v>
      </c>
      <c r="K22">
        <v>478.09504032681502</v>
      </c>
      <c r="L22">
        <v>0</v>
      </c>
      <c r="M22">
        <v>5505.5690055406603</v>
      </c>
      <c r="N22">
        <v>0</v>
      </c>
      <c r="O22">
        <v>65.6688712337114</v>
      </c>
      <c r="P22">
        <v>679.40795787198294</v>
      </c>
      <c r="Q22">
        <v>114.805833393649</v>
      </c>
      <c r="R22">
        <v>0</v>
      </c>
      <c r="S22">
        <v>3234.95425644652</v>
      </c>
      <c r="T22">
        <v>104.19629177566399</v>
      </c>
      <c r="U22">
        <v>1E-3</v>
      </c>
      <c r="V22">
        <v>359.405889257551</v>
      </c>
      <c r="X22" s="3">
        <f t="shared" si="0"/>
        <v>11092.09167141306</v>
      </c>
    </row>
    <row r="23" spans="1:24" x14ac:dyDescent="0.2">
      <c r="A23">
        <v>6003</v>
      </c>
      <c r="B23">
        <v>29</v>
      </c>
      <c r="C23">
        <v>0</v>
      </c>
      <c r="D23">
        <v>0</v>
      </c>
      <c r="E23">
        <v>0</v>
      </c>
      <c r="F23">
        <v>558.128664233108</v>
      </c>
      <c r="G23">
        <v>0</v>
      </c>
      <c r="H23">
        <v>0</v>
      </c>
      <c r="I23">
        <v>24.229482627497799</v>
      </c>
      <c r="J23">
        <v>1.7910152683349601</v>
      </c>
      <c r="K23">
        <v>489.446569623465</v>
      </c>
      <c r="L23">
        <v>0</v>
      </c>
      <c r="M23">
        <v>5681.16145332826</v>
      </c>
      <c r="N23">
        <v>0</v>
      </c>
      <c r="O23">
        <v>65.837129254620905</v>
      </c>
      <c r="P23">
        <v>673.25279589001298</v>
      </c>
      <c r="Q23">
        <v>114.805833393649</v>
      </c>
      <c r="R23">
        <v>0</v>
      </c>
      <c r="S23">
        <v>3309.8334957187999</v>
      </c>
      <c r="T23">
        <v>104.233898317401</v>
      </c>
      <c r="U23">
        <v>1E-3</v>
      </c>
      <c r="V23">
        <v>360.30214230167502</v>
      </c>
      <c r="X23" s="3">
        <f t="shared" si="0"/>
        <v>11383.023479956822</v>
      </c>
    </row>
    <row r="24" spans="1:24" x14ac:dyDescent="0.2">
      <c r="A24">
        <v>6003</v>
      </c>
      <c r="B24">
        <v>30</v>
      </c>
      <c r="C24">
        <v>0</v>
      </c>
      <c r="D24">
        <v>0</v>
      </c>
      <c r="E24">
        <v>0</v>
      </c>
      <c r="F24">
        <v>589.63596488956705</v>
      </c>
      <c r="G24">
        <v>0</v>
      </c>
      <c r="H24">
        <v>0</v>
      </c>
      <c r="I24">
        <v>26.369950428191</v>
      </c>
      <c r="J24">
        <v>0</v>
      </c>
      <c r="K24">
        <v>501.13308001023802</v>
      </c>
      <c r="L24">
        <v>0</v>
      </c>
      <c r="M24">
        <v>5862.7560011994201</v>
      </c>
      <c r="N24">
        <v>0</v>
      </c>
      <c r="O24">
        <v>66.017503573563303</v>
      </c>
      <c r="P24">
        <v>669.83598935722898</v>
      </c>
      <c r="Q24">
        <v>101.748318076148</v>
      </c>
      <c r="R24">
        <v>0</v>
      </c>
      <c r="S24">
        <v>3386.9127197214898</v>
      </c>
      <c r="T24">
        <v>104.285140357598</v>
      </c>
      <c r="U24">
        <v>1E-3</v>
      </c>
      <c r="V24">
        <v>375.36624294240801</v>
      </c>
      <c r="X24" s="3">
        <f t="shared" si="0"/>
        <v>11684.061910555853</v>
      </c>
    </row>
    <row r="25" spans="1:24" x14ac:dyDescent="0.2">
      <c r="A25">
        <v>6003</v>
      </c>
      <c r="B25">
        <v>31</v>
      </c>
      <c r="C25">
        <v>0</v>
      </c>
      <c r="D25">
        <v>0</v>
      </c>
      <c r="E25">
        <v>0</v>
      </c>
      <c r="F25">
        <v>620.41418938859499</v>
      </c>
      <c r="G25">
        <v>0</v>
      </c>
      <c r="H25">
        <v>0</v>
      </c>
      <c r="I25">
        <v>28.6075234985347</v>
      </c>
      <c r="J25">
        <v>0</v>
      </c>
      <c r="K25">
        <v>513.16558546187605</v>
      </c>
      <c r="L25">
        <v>0</v>
      </c>
      <c r="M25">
        <v>6049.8401991335404</v>
      </c>
      <c r="N25">
        <v>0</v>
      </c>
      <c r="O25">
        <v>66.202117491637296</v>
      </c>
      <c r="P25">
        <v>663.96544377594705</v>
      </c>
      <c r="Q25">
        <v>101.748318076148</v>
      </c>
      <c r="R25">
        <v>0</v>
      </c>
      <c r="S25">
        <v>3465.8650417835302</v>
      </c>
      <c r="T25">
        <v>104.33737990599801</v>
      </c>
      <c r="U25">
        <v>1E-3</v>
      </c>
      <c r="V25">
        <v>375.41362388486101</v>
      </c>
      <c r="X25" s="3">
        <f t="shared" si="0"/>
        <v>11989.560422400667</v>
      </c>
    </row>
    <row r="26" spans="1:24" x14ac:dyDescent="0.2">
      <c r="A26">
        <v>6003</v>
      </c>
      <c r="B26">
        <v>32</v>
      </c>
      <c r="C26">
        <v>0</v>
      </c>
      <c r="D26">
        <v>0</v>
      </c>
      <c r="E26">
        <v>0</v>
      </c>
      <c r="F26">
        <v>650.40503856801604</v>
      </c>
      <c r="G26">
        <v>0</v>
      </c>
      <c r="H26">
        <v>0</v>
      </c>
      <c r="I26">
        <v>30.943660856305002</v>
      </c>
      <c r="J26">
        <v>0</v>
      </c>
      <c r="K26">
        <v>525.53386059323498</v>
      </c>
      <c r="L26">
        <v>0</v>
      </c>
      <c r="M26">
        <v>6242.7746285190997</v>
      </c>
      <c r="N26">
        <v>0</v>
      </c>
      <c r="O26">
        <v>66.393169907817295</v>
      </c>
      <c r="P26">
        <v>658.00272667927402</v>
      </c>
      <c r="Q26">
        <v>101.748318076148</v>
      </c>
      <c r="R26">
        <v>0</v>
      </c>
      <c r="S26">
        <v>3546.8439494920699</v>
      </c>
      <c r="T26">
        <v>104.393932122907</v>
      </c>
      <c r="U26">
        <v>1E-3</v>
      </c>
      <c r="V26">
        <v>375.56208083063399</v>
      </c>
      <c r="X26" s="3">
        <f t="shared" si="0"/>
        <v>12302.602365645505</v>
      </c>
    </row>
    <row r="27" spans="1:24" x14ac:dyDescent="0.2">
      <c r="A27">
        <v>6003</v>
      </c>
      <c r="B27">
        <v>33</v>
      </c>
      <c r="C27">
        <v>0</v>
      </c>
      <c r="D27">
        <v>0</v>
      </c>
      <c r="E27">
        <v>0</v>
      </c>
      <c r="F27">
        <v>679.603779700568</v>
      </c>
      <c r="G27">
        <v>0</v>
      </c>
      <c r="H27">
        <v>0</v>
      </c>
      <c r="I27">
        <v>33.375504688964298</v>
      </c>
      <c r="J27">
        <v>0</v>
      </c>
      <c r="K27">
        <v>538.26047817100005</v>
      </c>
      <c r="L27">
        <v>0</v>
      </c>
      <c r="M27">
        <v>6442.3957315241996</v>
      </c>
      <c r="N27">
        <v>0</v>
      </c>
      <c r="O27">
        <v>66.597498685397497</v>
      </c>
      <c r="P27">
        <v>651.99602664185397</v>
      </c>
      <c r="Q27">
        <v>101.748318076148</v>
      </c>
      <c r="R27">
        <v>0</v>
      </c>
      <c r="S27">
        <v>3630.25371465135</v>
      </c>
      <c r="T27">
        <v>104.46535371859299</v>
      </c>
      <c r="U27">
        <v>1E-3</v>
      </c>
      <c r="V27">
        <v>375.91132924491001</v>
      </c>
      <c r="X27" s="3">
        <f t="shared" si="0"/>
        <v>12624.608735102984</v>
      </c>
    </row>
    <row r="28" spans="1:24" x14ac:dyDescent="0.2">
      <c r="A28">
        <v>6003</v>
      </c>
      <c r="B28">
        <v>34</v>
      </c>
      <c r="C28">
        <v>0</v>
      </c>
      <c r="D28">
        <v>0</v>
      </c>
      <c r="E28">
        <v>0</v>
      </c>
      <c r="F28">
        <v>708.025044676417</v>
      </c>
      <c r="G28">
        <v>0</v>
      </c>
      <c r="H28">
        <v>0</v>
      </c>
      <c r="I28">
        <v>35.9003669647416</v>
      </c>
      <c r="J28">
        <v>0</v>
      </c>
      <c r="K28">
        <v>551.27323645295905</v>
      </c>
      <c r="L28">
        <v>0</v>
      </c>
      <c r="M28">
        <v>6649.82197009432</v>
      </c>
      <c r="N28">
        <v>0</v>
      </c>
      <c r="O28">
        <v>66.823930093762399</v>
      </c>
      <c r="P28">
        <v>646.233668461143</v>
      </c>
      <c r="Q28">
        <v>101.748318076148</v>
      </c>
      <c r="R28">
        <v>0</v>
      </c>
      <c r="S28">
        <v>3716.6352853199</v>
      </c>
      <c r="T28">
        <v>104.565205263471</v>
      </c>
      <c r="U28">
        <v>1E-3</v>
      </c>
      <c r="V28">
        <v>376.36149268614798</v>
      </c>
      <c r="X28" s="3">
        <f t="shared" si="0"/>
        <v>12957.38951808901</v>
      </c>
    </row>
    <row r="29" spans="1:24" x14ac:dyDescent="0.2">
      <c r="A29">
        <v>6003</v>
      </c>
      <c r="B29">
        <v>35</v>
      </c>
      <c r="C29">
        <v>0</v>
      </c>
      <c r="D29">
        <v>0</v>
      </c>
      <c r="E29">
        <v>0</v>
      </c>
      <c r="F29">
        <v>735.65945048854496</v>
      </c>
      <c r="G29">
        <v>0</v>
      </c>
      <c r="H29">
        <v>0</v>
      </c>
      <c r="I29">
        <v>38.515736177466202</v>
      </c>
      <c r="J29">
        <v>0</v>
      </c>
      <c r="K29">
        <v>564.74364680710005</v>
      </c>
      <c r="L29">
        <v>0</v>
      </c>
      <c r="M29">
        <v>6865.8551791262298</v>
      </c>
      <c r="N29">
        <v>0</v>
      </c>
      <c r="O29">
        <v>67.077232563432602</v>
      </c>
      <c r="P29">
        <v>640.59567932745495</v>
      </c>
      <c r="Q29">
        <v>101.748318076148</v>
      </c>
      <c r="R29">
        <v>0</v>
      </c>
      <c r="S29">
        <v>3806.3504679059101</v>
      </c>
      <c r="T29">
        <v>104.737756979031</v>
      </c>
      <c r="U29">
        <v>1E-3</v>
      </c>
      <c r="V29">
        <v>376.98815687772998</v>
      </c>
      <c r="X29" s="3">
        <f t="shared" si="0"/>
        <v>13302.272624329047</v>
      </c>
    </row>
    <row r="30" spans="1:24" x14ac:dyDescent="0.2">
      <c r="A30">
        <v>6003</v>
      </c>
      <c r="B30">
        <v>36</v>
      </c>
      <c r="C30">
        <v>0</v>
      </c>
      <c r="D30">
        <v>0</v>
      </c>
      <c r="E30">
        <v>0</v>
      </c>
      <c r="F30">
        <v>775.76562408635698</v>
      </c>
      <c r="G30">
        <v>0</v>
      </c>
      <c r="H30">
        <v>0</v>
      </c>
      <c r="I30">
        <v>41.1906080050735</v>
      </c>
      <c r="J30">
        <v>0</v>
      </c>
      <c r="K30">
        <v>579.72467002771498</v>
      </c>
      <c r="L30">
        <v>0</v>
      </c>
      <c r="M30">
        <v>7101.13694797268</v>
      </c>
      <c r="N30">
        <v>0</v>
      </c>
      <c r="O30">
        <v>68.856598447916099</v>
      </c>
      <c r="P30">
        <v>649.89629609241194</v>
      </c>
      <c r="Q30">
        <v>101.748318076148</v>
      </c>
      <c r="R30">
        <v>0</v>
      </c>
      <c r="S30">
        <v>3904.8203271618499</v>
      </c>
      <c r="T30">
        <v>107.55778679943499</v>
      </c>
      <c r="U30">
        <v>1E-3</v>
      </c>
      <c r="V30">
        <v>387.769154514668</v>
      </c>
      <c r="X30" s="3">
        <f t="shared" si="0"/>
        <v>13718.467331184254</v>
      </c>
    </row>
    <row r="31" spans="1:24" x14ac:dyDescent="0.2">
      <c r="A31">
        <v>6003</v>
      </c>
      <c r="B31">
        <v>37</v>
      </c>
      <c r="C31">
        <v>0</v>
      </c>
      <c r="D31">
        <v>0</v>
      </c>
      <c r="E31">
        <v>0</v>
      </c>
      <c r="F31">
        <v>816.34293008962595</v>
      </c>
      <c r="G31">
        <v>0</v>
      </c>
      <c r="H31">
        <v>0</v>
      </c>
      <c r="I31">
        <v>43.936816457604102</v>
      </c>
      <c r="J31">
        <v>0</v>
      </c>
      <c r="K31">
        <v>594.87170850856501</v>
      </c>
      <c r="L31">
        <v>0</v>
      </c>
      <c r="M31">
        <v>7341.2200860677403</v>
      </c>
      <c r="N31">
        <v>0</v>
      </c>
      <c r="O31">
        <v>70.655682737879502</v>
      </c>
      <c r="P31">
        <v>659.29775292330703</v>
      </c>
      <c r="Q31">
        <v>101.748318076148</v>
      </c>
      <c r="R31">
        <v>0</v>
      </c>
      <c r="S31">
        <v>4004.4201459025198</v>
      </c>
      <c r="T31">
        <v>110.409182321542</v>
      </c>
      <c r="U31">
        <v>1E-3</v>
      </c>
      <c r="V31">
        <v>398.281354526803</v>
      </c>
      <c r="X31" s="3">
        <f t="shared" si="0"/>
        <v>14141.184977611734</v>
      </c>
    </row>
    <row r="32" spans="1:24" x14ac:dyDescent="0.2">
      <c r="A32">
        <v>6003</v>
      </c>
      <c r="B32">
        <v>38</v>
      </c>
      <c r="C32">
        <v>0</v>
      </c>
      <c r="D32">
        <v>0</v>
      </c>
      <c r="E32">
        <v>0</v>
      </c>
      <c r="F32">
        <v>857.27083954768295</v>
      </c>
      <c r="G32">
        <v>0</v>
      </c>
      <c r="H32">
        <v>0</v>
      </c>
      <c r="I32">
        <v>46.752587863451197</v>
      </c>
      <c r="J32">
        <v>0</v>
      </c>
      <c r="K32">
        <v>611.10370230856995</v>
      </c>
      <c r="L32">
        <v>0</v>
      </c>
      <c r="M32">
        <v>7584.6888008922397</v>
      </c>
      <c r="N32">
        <v>0</v>
      </c>
      <c r="O32">
        <v>72.460851197333696</v>
      </c>
      <c r="P32">
        <v>668.45963457884102</v>
      </c>
      <c r="Q32">
        <v>101.748318076148</v>
      </c>
      <c r="R32">
        <v>0</v>
      </c>
      <c r="S32">
        <v>4104.4061637343202</v>
      </c>
      <c r="T32">
        <v>113.103837763149</v>
      </c>
      <c r="U32">
        <v>1E-3</v>
      </c>
      <c r="V32">
        <v>407.87048502918498</v>
      </c>
      <c r="X32" s="3">
        <f t="shared" si="0"/>
        <v>14567.86622099092</v>
      </c>
    </row>
    <row r="33" spans="1:24" x14ac:dyDescent="0.2">
      <c r="A33">
        <v>6003</v>
      </c>
      <c r="B33">
        <v>39</v>
      </c>
      <c r="C33">
        <v>0</v>
      </c>
      <c r="D33">
        <v>0</v>
      </c>
      <c r="E33">
        <v>0</v>
      </c>
      <c r="F33">
        <v>898.52469137130697</v>
      </c>
      <c r="G33">
        <v>0</v>
      </c>
      <c r="H33">
        <v>0</v>
      </c>
      <c r="I33">
        <v>49.636831119394103</v>
      </c>
      <c r="J33">
        <v>0</v>
      </c>
      <c r="K33">
        <v>634.55696447510797</v>
      </c>
      <c r="L33">
        <v>0</v>
      </c>
      <c r="M33">
        <v>7831.3283053792702</v>
      </c>
      <c r="N33">
        <v>0</v>
      </c>
      <c r="O33">
        <v>74.271929722420595</v>
      </c>
      <c r="P33">
        <v>668.45963457884102</v>
      </c>
      <c r="Q33">
        <v>101.748318076148</v>
      </c>
      <c r="R33">
        <v>0</v>
      </c>
      <c r="S33">
        <v>4204.7659923491201</v>
      </c>
      <c r="T33">
        <v>115.93074261305</v>
      </c>
      <c r="U33">
        <v>1E-3</v>
      </c>
      <c r="V33">
        <v>419.36466997420899</v>
      </c>
      <c r="X33" s="3">
        <f t="shared" si="0"/>
        <v>14998.589079658872</v>
      </c>
    </row>
    <row r="34" spans="1:24" x14ac:dyDescent="0.2">
      <c r="A34">
        <v>6003</v>
      </c>
      <c r="B34">
        <v>40</v>
      </c>
      <c r="C34">
        <v>0</v>
      </c>
      <c r="D34">
        <v>0</v>
      </c>
      <c r="E34">
        <v>0</v>
      </c>
      <c r="F34">
        <v>939.97674480328396</v>
      </c>
      <c r="G34">
        <v>0</v>
      </c>
      <c r="H34">
        <v>0</v>
      </c>
      <c r="I34">
        <v>52.5884533526404</v>
      </c>
      <c r="J34">
        <v>0</v>
      </c>
      <c r="K34">
        <v>652.08989426231699</v>
      </c>
      <c r="L34">
        <v>0</v>
      </c>
      <c r="M34">
        <v>8080.2305079062598</v>
      </c>
      <c r="N34">
        <v>0</v>
      </c>
      <c r="O34">
        <v>76.076021867451601</v>
      </c>
      <c r="P34">
        <v>668.45963457884102</v>
      </c>
      <c r="Q34">
        <v>101.748318076148</v>
      </c>
      <c r="R34">
        <v>0</v>
      </c>
      <c r="S34">
        <v>4304.7948750966398</v>
      </c>
      <c r="T34">
        <v>120.97063752986701</v>
      </c>
      <c r="U34">
        <v>1E-3</v>
      </c>
      <c r="V34">
        <v>434.19795106131397</v>
      </c>
      <c r="X34" s="3">
        <f t="shared" si="0"/>
        <v>15431.134038534763</v>
      </c>
    </row>
    <row r="35" spans="1:24" x14ac:dyDescent="0.2">
      <c r="A35">
        <v>6003</v>
      </c>
      <c r="B35">
        <v>41</v>
      </c>
      <c r="C35">
        <v>0</v>
      </c>
      <c r="D35">
        <v>0</v>
      </c>
      <c r="E35">
        <v>0</v>
      </c>
      <c r="F35">
        <v>981.60544428706601</v>
      </c>
      <c r="G35">
        <v>0</v>
      </c>
      <c r="H35">
        <v>0</v>
      </c>
      <c r="I35">
        <v>55.606986909475097</v>
      </c>
      <c r="J35">
        <v>0</v>
      </c>
      <c r="K35">
        <v>667.29178210682005</v>
      </c>
      <c r="L35">
        <v>0</v>
      </c>
      <c r="M35">
        <v>8331.3652321988702</v>
      </c>
      <c r="N35">
        <v>0</v>
      </c>
      <c r="O35">
        <v>77.874146083205304</v>
      </c>
      <c r="P35">
        <v>668.45963457884102</v>
      </c>
      <c r="Q35">
        <v>101.748318076148</v>
      </c>
      <c r="R35">
        <v>0</v>
      </c>
      <c r="S35">
        <v>4404.5448244665604</v>
      </c>
      <c r="T35">
        <v>126.82129863241801</v>
      </c>
      <c r="U35">
        <v>1E-3</v>
      </c>
      <c r="V35">
        <v>449.86786416538501</v>
      </c>
      <c r="X35" s="3">
        <f t="shared" si="0"/>
        <v>15865.186531504789</v>
      </c>
    </row>
    <row r="36" spans="1:24" x14ac:dyDescent="0.2">
      <c r="A36">
        <v>6003</v>
      </c>
      <c r="B36">
        <v>42</v>
      </c>
      <c r="C36">
        <v>0</v>
      </c>
      <c r="D36">
        <v>0</v>
      </c>
      <c r="E36">
        <v>0</v>
      </c>
      <c r="F36">
        <v>1023.45068016465</v>
      </c>
      <c r="G36">
        <v>0</v>
      </c>
      <c r="H36">
        <v>0</v>
      </c>
      <c r="I36">
        <v>58.692688874205302</v>
      </c>
      <c r="J36">
        <v>0</v>
      </c>
      <c r="K36">
        <v>679.95341401672795</v>
      </c>
      <c r="L36">
        <v>0</v>
      </c>
      <c r="M36">
        <v>8585.6043935761409</v>
      </c>
      <c r="N36">
        <v>0</v>
      </c>
      <c r="O36">
        <v>79.674439024082403</v>
      </c>
      <c r="P36">
        <v>668.45963457884102</v>
      </c>
      <c r="Q36">
        <v>101.748318076148</v>
      </c>
      <c r="R36">
        <v>0</v>
      </c>
      <c r="S36">
        <v>4505.0080826924996</v>
      </c>
      <c r="T36">
        <v>132.886937205403</v>
      </c>
      <c r="U36">
        <v>1E-3</v>
      </c>
      <c r="V36">
        <v>465.41172316466799</v>
      </c>
      <c r="X36" s="3">
        <f t="shared" si="0"/>
        <v>16300.891311373367</v>
      </c>
    </row>
    <row r="37" spans="1:24" x14ac:dyDescent="0.2">
      <c r="A37">
        <v>6003</v>
      </c>
      <c r="B37">
        <v>43</v>
      </c>
      <c r="C37">
        <v>0</v>
      </c>
      <c r="D37">
        <v>0</v>
      </c>
      <c r="E37">
        <v>0</v>
      </c>
      <c r="F37">
        <v>1065.4936514649501</v>
      </c>
      <c r="G37">
        <v>0</v>
      </c>
      <c r="H37">
        <v>0</v>
      </c>
      <c r="I37">
        <v>61.846092791499601</v>
      </c>
      <c r="J37">
        <v>0</v>
      </c>
      <c r="K37">
        <v>697.87745235645502</v>
      </c>
      <c r="L37">
        <v>0</v>
      </c>
      <c r="M37">
        <v>8842.7562167101405</v>
      </c>
      <c r="N37">
        <v>0</v>
      </c>
      <c r="O37">
        <v>81.477552346645695</v>
      </c>
      <c r="P37">
        <v>668.45963457884102</v>
      </c>
      <c r="Q37">
        <v>101.748318076148</v>
      </c>
      <c r="R37">
        <v>0</v>
      </c>
      <c r="S37">
        <v>4606.9609824136596</v>
      </c>
      <c r="T37">
        <v>135.113827029807</v>
      </c>
      <c r="U37">
        <v>1E-3</v>
      </c>
      <c r="V37">
        <v>474.18921331486303</v>
      </c>
      <c r="X37" s="3">
        <f t="shared" si="0"/>
        <v>16735.923941083009</v>
      </c>
    </row>
    <row r="38" spans="1:24" x14ac:dyDescent="0.2">
      <c r="A38">
        <v>6003</v>
      </c>
      <c r="B38">
        <v>44</v>
      </c>
      <c r="C38">
        <v>0</v>
      </c>
      <c r="D38">
        <v>0</v>
      </c>
      <c r="E38">
        <v>0</v>
      </c>
      <c r="F38">
        <v>1107.7792805935201</v>
      </c>
      <c r="G38">
        <v>0</v>
      </c>
      <c r="H38">
        <v>0</v>
      </c>
      <c r="I38">
        <v>65.068334880539695</v>
      </c>
      <c r="J38">
        <v>0</v>
      </c>
      <c r="K38">
        <v>709.081180573545</v>
      </c>
      <c r="L38">
        <v>0</v>
      </c>
      <c r="M38">
        <v>9104.0964970090008</v>
      </c>
      <c r="N38">
        <v>0</v>
      </c>
      <c r="O38">
        <v>83.2913213159582</v>
      </c>
      <c r="P38">
        <v>668.45963457884102</v>
      </c>
      <c r="Q38">
        <v>101.748318076148</v>
      </c>
      <c r="R38">
        <v>0</v>
      </c>
      <c r="S38">
        <v>4709.5163811961502</v>
      </c>
      <c r="T38">
        <v>140.173508920942</v>
      </c>
      <c r="U38">
        <v>1E-3</v>
      </c>
      <c r="V38">
        <v>487.11346370438002</v>
      </c>
      <c r="X38" s="3">
        <f t="shared" si="0"/>
        <v>17176.328920849028</v>
      </c>
    </row>
    <row r="39" spans="1:24" x14ac:dyDescent="0.2">
      <c r="A39">
        <v>6003</v>
      </c>
      <c r="B39">
        <v>45</v>
      </c>
      <c r="C39">
        <v>0</v>
      </c>
      <c r="D39">
        <v>0</v>
      </c>
      <c r="E39">
        <v>0</v>
      </c>
      <c r="F39">
        <v>1150.3595145599199</v>
      </c>
      <c r="G39">
        <v>0</v>
      </c>
      <c r="H39">
        <v>0</v>
      </c>
      <c r="I39">
        <v>68.3610331740079</v>
      </c>
      <c r="J39">
        <v>0</v>
      </c>
      <c r="K39">
        <v>720.400516711656</v>
      </c>
      <c r="L39">
        <v>0</v>
      </c>
      <c r="M39">
        <v>9370.3045144115204</v>
      </c>
      <c r="N39">
        <v>0</v>
      </c>
      <c r="O39">
        <v>85.123806024861395</v>
      </c>
      <c r="P39">
        <v>668.45963457884102</v>
      </c>
      <c r="Q39">
        <v>101.748318076148</v>
      </c>
      <c r="R39">
        <v>0</v>
      </c>
      <c r="S39">
        <v>4813.1300184697602</v>
      </c>
      <c r="T39">
        <v>145.286463863763</v>
      </c>
      <c r="U39">
        <v>1E-3</v>
      </c>
      <c r="V39">
        <v>499.855407425816</v>
      </c>
      <c r="X39" s="3">
        <f t="shared" si="0"/>
        <v>17623.030227296294</v>
      </c>
    </row>
    <row r="40" spans="1:24" x14ac:dyDescent="0.2">
      <c r="C40" s="3">
        <f t="shared" ref="C40:L40" si="1">+SUM(C2:C39)</f>
        <v>0</v>
      </c>
      <c r="D40" s="3">
        <f t="shared" si="1"/>
        <v>0</v>
      </c>
      <c r="E40" s="3">
        <f t="shared" si="1"/>
        <v>0</v>
      </c>
      <c r="F40" s="3">
        <f t="shared" si="1"/>
        <v>18448.632646191407</v>
      </c>
      <c r="G40" s="3">
        <f t="shared" si="1"/>
        <v>0</v>
      </c>
      <c r="H40" s="3">
        <f t="shared" si="1"/>
        <v>0</v>
      </c>
      <c r="I40" s="3">
        <f t="shared" si="1"/>
        <v>947.75524066492744</v>
      </c>
      <c r="J40" s="3">
        <f t="shared" si="1"/>
        <v>431.14468295779204</v>
      </c>
      <c r="K40" s="3">
        <f t="shared" si="1"/>
        <v>23149.843790305575</v>
      </c>
      <c r="L40" s="3">
        <f t="shared" si="1"/>
        <v>0</v>
      </c>
      <c r="M40" s="9">
        <f>+SUM(M2:M39)</f>
        <v>215302.40850259655</v>
      </c>
      <c r="N40" s="3">
        <f t="shared" ref="N40:V40" si="2">+SUM(N2:N39)</f>
        <v>0</v>
      </c>
      <c r="O40" s="3">
        <f t="shared" si="2"/>
        <v>3049.1107434724663</v>
      </c>
      <c r="P40" s="3">
        <f t="shared" si="2"/>
        <v>27208.722763751492</v>
      </c>
      <c r="Q40" s="3">
        <f t="shared" si="2"/>
        <v>4376.1932716874135</v>
      </c>
      <c r="R40" s="3">
        <f t="shared" si="2"/>
        <v>0</v>
      </c>
      <c r="S40" s="3">
        <f t="shared" si="2"/>
        <v>125191.69155886635</v>
      </c>
      <c r="T40" s="3">
        <f t="shared" si="2"/>
        <v>4337.2978886622914</v>
      </c>
      <c r="U40" s="3">
        <f t="shared" si="2"/>
        <v>3.8000000000000027E-2</v>
      </c>
      <c r="V40" s="3">
        <f t="shared" si="2"/>
        <v>14736.059059935542</v>
      </c>
      <c r="X40" s="3">
        <f>+SUM(C40:V40)</f>
        <v>437178.89814909187</v>
      </c>
    </row>
    <row r="41" spans="1:24" ht="17" thickBot="1" x14ac:dyDescent="0.25">
      <c r="A41" s="4"/>
      <c r="B41" s="4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</row>
    <row r="42" spans="1:24" ht="17" thickTop="1" x14ac:dyDescent="0.2">
      <c r="A42">
        <v>6004</v>
      </c>
      <c r="B42">
        <v>8</v>
      </c>
      <c r="C42">
        <v>0</v>
      </c>
      <c r="D42">
        <v>0</v>
      </c>
      <c r="E42">
        <v>0</v>
      </c>
      <c r="F42">
        <v>20.939844196821301</v>
      </c>
      <c r="G42">
        <v>0</v>
      </c>
      <c r="H42">
        <v>0</v>
      </c>
      <c r="I42">
        <v>0.85170101042173296</v>
      </c>
      <c r="J42">
        <v>19.177500187377401</v>
      </c>
      <c r="K42">
        <v>816.29370210267405</v>
      </c>
      <c r="L42">
        <v>0</v>
      </c>
      <c r="M42">
        <v>3131.8938480793099</v>
      </c>
      <c r="N42">
        <v>0</v>
      </c>
      <c r="O42">
        <v>204.863488178951</v>
      </c>
      <c r="P42">
        <v>925.87697592269103</v>
      </c>
      <c r="Q42">
        <v>224.088661986445</v>
      </c>
      <c r="R42">
        <v>0</v>
      </c>
      <c r="S42">
        <v>1780.2055368925</v>
      </c>
      <c r="T42">
        <v>111.45373811118399</v>
      </c>
      <c r="U42">
        <v>1E-3</v>
      </c>
      <c r="V42">
        <v>287.673332931765</v>
      </c>
    </row>
    <row r="43" spans="1:24" x14ac:dyDescent="0.2">
      <c r="A43">
        <v>6004</v>
      </c>
      <c r="B43">
        <v>9</v>
      </c>
      <c r="C43">
        <v>0</v>
      </c>
      <c r="D43">
        <v>0</v>
      </c>
      <c r="E43">
        <v>0</v>
      </c>
      <c r="F43">
        <v>41.787528071059</v>
      </c>
      <c r="G43">
        <v>0</v>
      </c>
      <c r="H43">
        <v>0</v>
      </c>
      <c r="I43">
        <v>0.868527249393655</v>
      </c>
      <c r="J43">
        <v>17.803062031316099</v>
      </c>
      <c r="K43">
        <v>633.54845850644404</v>
      </c>
      <c r="L43">
        <v>0</v>
      </c>
      <c r="M43">
        <v>2990.40933701213</v>
      </c>
      <c r="N43">
        <v>0</v>
      </c>
      <c r="O43">
        <v>202.085326049515</v>
      </c>
      <c r="P43">
        <v>911.04341800443103</v>
      </c>
      <c r="Q43">
        <v>222.79202776039699</v>
      </c>
      <c r="R43">
        <v>0</v>
      </c>
      <c r="S43">
        <v>2549.6387934734298</v>
      </c>
      <c r="T43">
        <v>121.069619764165</v>
      </c>
      <c r="U43">
        <v>1E-3</v>
      </c>
      <c r="V43">
        <v>355.52792084412499</v>
      </c>
    </row>
    <row r="44" spans="1:24" x14ac:dyDescent="0.2">
      <c r="A44">
        <v>6004</v>
      </c>
      <c r="B44">
        <v>10</v>
      </c>
      <c r="C44">
        <v>0</v>
      </c>
      <c r="D44">
        <v>0</v>
      </c>
      <c r="E44">
        <v>0</v>
      </c>
      <c r="F44">
        <v>62.398220500348302</v>
      </c>
      <c r="G44">
        <v>0</v>
      </c>
      <c r="H44">
        <v>0</v>
      </c>
      <c r="I44">
        <v>0.88477941097730495</v>
      </c>
      <c r="J44">
        <v>16.912008990252001</v>
      </c>
      <c r="K44">
        <v>636.77288334489003</v>
      </c>
      <c r="L44">
        <v>0</v>
      </c>
      <c r="M44">
        <v>3438.1030522236601</v>
      </c>
      <c r="N44">
        <v>0</v>
      </c>
      <c r="O44">
        <v>197.73093742853999</v>
      </c>
      <c r="P44">
        <v>891.50785732439294</v>
      </c>
      <c r="Q44">
        <v>122.320266228051</v>
      </c>
      <c r="R44">
        <v>0</v>
      </c>
      <c r="S44">
        <v>2578.0986137221498</v>
      </c>
      <c r="T44">
        <v>120.19193745192</v>
      </c>
      <c r="U44">
        <v>1E-3</v>
      </c>
      <c r="V44">
        <v>351.67091804722901</v>
      </c>
    </row>
    <row r="45" spans="1:24" x14ac:dyDescent="0.2">
      <c r="A45">
        <v>6004</v>
      </c>
      <c r="B45">
        <v>11</v>
      </c>
      <c r="C45">
        <v>0</v>
      </c>
      <c r="D45">
        <v>6.2408901752373804</v>
      </c>
      <c r="E45">
        <v>0</v>
      </c>
      <c r="F45">
        <v>111.843321298333</v>
      </c>
      <c r="G45">
        <v>0</v>
      </c>
      <c r="H45">
        <v>0</v>
      </c>
      <c r="I45">
        <v>4.0016657669473101</v>
      </c>
      <c r="J45">
        <v>15.2003129588802</v>
      </c>
      <c r="K45">
        <v>628.20568906870096</v>
      </c>
      <c r="L45">
        <v>0</v>
      </c>
      <c r="M45">
        <v>3587.7750965494201</v>
      </c>
      <c r="N45">
        <v>117.336143228797</v>
      </c>
      <c r="O45">
        <v>79.646600903585096</v>
      </c>
      <c r="P45">
        <v>865.29048855263602</v>
      </c>
      <c r="Q45">
        <v>116.442838869612</v>
      </c>
      <c r="R45">
        <v>0</v>
      </c>
      <c r="S45">
        <v>2502.48177619225</v>
      </c>
      <c r="T45">
        <v>124.123463848908</v>
      </c>
      <c r="U45">
        <v>1E-3</v>
      </c>
      <c r="V45">
        <v>484.015370470356</v>
      </c>
    </row>
    <row r="46" spans="1:24" x14ac:dyDescent="0.2">
      <c r="A46">
        <v>6004</v>
      </c>
      <c r="B46">
        <v>12</v>
      </c>
      <c r="C46">
        <v>0</v>
      </c>
      <c r="D46">
        <v>17.615588743759599</v>
      </c>
      <c r="E46">
        <v>0</v>
      </c>
      <c r="F46">
        <v>153.441049320643</v>
      </c>
      <c r="G46">
        <v>0</v>
      </c>
      <c r="H46">
        <v>0</v>
      </c>
      <c r="I46">
        <v>7.4888427766961803</v>
      </c>
      <c r="J46">
        <v>190.8731700486</v>
      </c>
      <c r="K46">
        <v>619.88444787375897</v>
      </c>
      <c r="L46">
        <v>0</v>
      </c>
      <c r="M46">
        <v>3823.95262121203</v>
      </c>
      <c r="N46">
        <v>253.49835572324201</v>
      </c>
      <c r="O46">
        <v>86.088018864935293</v>
      </c>
      <c r="P46">
        <v>845.27909740190501</v>
      </c>
      <c r="Q46">
        <v>116.442838869612</v>
      </c>
      <c r="R46">
        <v>0</v>
      </c>
      <c r="S46">
        <v>2429.0358003920001</v>
      </c>
      <c r="T46">
        <v>128.43845020621899</v>
      </c>
      <c r="U46">
        <v>1E-3</v>
      </c>
      <c r="V46">
        <v>473.25075534874497</v>
      </c>
    </row>
    <row r="47" spans="1:24" x14ac:dyDescent="0.2">
      <c r="A47">
        <v>6004</v>
      </c>
      <c r="B47">
        <v>13</v>
      </c>
      <c r="C47">
        <v>0</v>
      </c>
      <c r="D47">
        <v>33.341601511496101</v>
      </c>
      <c r="E47">
        <v>0</v>
      </c>
      <c r="F47">
        <v>188.058331332412</v>
      </c>
      <c r="G47">
        <v>0</v>
      </c>
      <c r="H47">
        <v>0</v>
      </c>
      <c r="I47">
        <v>11.8380465395201</v>
      </c>
      <c r="J47">
        <v>12.3744733265018</v>
      </c>
      <c r="K47">
        <v>611.58638834248404</v>
      </c>
      <c r="L47">
        <v>0</v>
      </c>
      <c r="M47">
        <v>3787.7428754213602</v>
      </c>
      <c r="N47">
        <v>389.82842016259701</v>
      </c>
      <c r="O47">
        <v>92.339878629027794</v>
      </c>
      <c r="P47">
        <v>825.688536590642</v>
      </c>
      <c r="Q47">
        <v>116.442838869612</v>
      </c>
      <c r="R47">
        <v>0</v>
      </c>
      <c r="S47">
        <v>2316.4937889929402</v>
      </c>
      <c r="T47">
        <v>132.61808760721101</v>
      </c>
      <c r="U47">
        <v>1E-3</v>
      </c>
      <c r="V47">
        <v>543.99194430438297</v>
      </c>
    </row>
    <row r="48" spans="1:24" x14ac:dyDescent="0.2">
      <c r="A48">
        <v>6004</v>
      </c>
      <c r="B48">
        <v>14</v>
      </c>
      <c r="C48">
        <v>0</v>
      </c>
      <c r="D48">
        <v>58.545556953197803</v>
      </c>
      <c r="E48">
        <v>0</v>
      </c>
      <c r="F48">
        <v>240.34491801838499</v>
      </c>
      <c r="G48">
        <v>0</v>
      </c>
      <c r="H48">
        <v>0</v>
      </c>
      <c r="I48">
        <v>17.786633291309599</v>
      </c>
      <c r="J48">
        <v>10.423323092292801</v>
      </c>
      <c r="K48">
        <v>604.91590072816098</v>
      </c>
      <c r="L48">
        <v>0</v>
      </c>
      <c r="M48">
        <v>3487.53188288201</v>
      </c>
      <c r="N48">
        <v>505.37237889075999</v>
      </c>
      <c r="O48">
        <v>99.101492378192503</v>
      </c>
      <c r="P48">
        <v>806.664380436687</v>
      </c>
      <c r="Q48">
        <v>116.442838869612</v>
      </c>
      <c r="R48">
        <v>0</v>
      </c>
      <c r="S48">
        <v>2257.6179001177102</v>
      </c>
      <c r="T48">
        <v>137.62387547800901</v>
      </c>
      <c r="U48">
        <v>1E-3</v>
      </c>
      <c r="V48">
        <v>577.027174316333</v>
      </c>
    </row>
    <row r="49" spans="1:22" x14ac:dyDescent="0.2">
      <c r="A49">
        <v>6004</v>
      </c>
      <c r="B49">
        <v>15</v>
      </c>
      <c r="C49">
        <v>0</v>
      </c>
      <c r="D49">
        <v>88.823250172233202</v>
      </c>
      <c r="E49">
        <v>0</v>
      </c>
      <c r="F49">
        <v>282.83192818009002</v>
      </c>
      <c r="G49">
        <v>0</v>
      </c>
      <c r="H49">
        <v>0</v>
      </c>
      <c r="I49">
        <v>24.4840599584568</v>
      </c>
      <c r="J49">
        <v>8.2431505269302505</v>
      </c>
      <c r="K49">
        <v>598.20812592311302</v>
      </c>
      <c r="L49">
        <v>0</v>
      </c>
      <c r="M49">
        <v>3274.3365217228902</v>
      </c>
      <c r="N49">
        <v>623.08303480577104</v>
      </c>
      <c r="O49">
        <v>105.82210856519799</v>
      </c>
      <c r="P49">
        <v>788.04034703427203</v>
      </c>
      <c r="Q49">
        <v>116.442838869612</v>
      </c>
      <c r="R49">
        <v>0</v>
      </c>
      <c r="S49">
        <v>2198.412902394</v>
      </c>
      <c r="T49">
        <v>162.52900913429499</v>
      </c>
      <c r="U49">
        <v>1E-3</v>
      </c>
      <c r="V49">
        <v>558.68949522144806</v>
      </c>
    </row>
    <row r="50" spans="1:22" x14ac:dyDescent="0.2">
      <c r="A50">
        <v>6004</v>
      </c>
      <c r="B50">
        <v>16</v>
      </c>
      <c r="C50">
        <v>0</v>
      </c>
      <c r="D50">
        <v>123.147981016872</v>
      </c>
      <c r="E50">
        <v>0</v>
      </c>
      <c r="F50">
        <v>316.51191612231901</v>
      </c>
      <c r="G50">
        <v>0</v>
      </c>
      <c r="H50">
        <v>0</v>
      </c>
      <c r="I50">
        <v>31.968711046167101</v>
      </c>
      <c r="J50">
        <v>7.6284696234662697</v>
      </c>
      <c r="K50">
        <v>591.28836028525404</v>
      </c>
      <c r="L50">
        <v>0</v>
      </c>
      <c r="M50">
        <v>3159.2727199517399</v>
      </c>
      <c r="N50">
        <v>753.71347540198599</v>
      </c>
      <c r="O50">
        <v>112.440431968007</v>
      </c>
      <c r="P50">
        <v>769.79176124197704</v>
      </c>
      <c r="Q50">
        <v>116.442838869612</v>
      </c>
      <c r="R50">
        <v>0</v>
      </c>
      <c r="S50">
        <v>2125.4898242802601</v>
      </c>
      <c r="T50">
        <v>187.03779450800201</v>
      </c>
      <c r="U50">
        <v>1E-3</v>
      </c>
      <c r="V50">
        <v>540.55243014843995</v>
      </c>
    </row>
    <row r="51" spans="1:22" x14ac:dyDescent="0.2">
      <c r="A51">
        <v>6004</v>
      </c>
      <c r="B51">
        <v>17</v>
      </c>
      <c r="C51">
        <v>0</v>
      </c>
      <c r="D51">
        <v>160.722875839773</v>
      </c>
      <c r="E51">
        <v>0</v>
      </c>
      <c r="F51">
        <v>342.593498500544</v>
      </c>
      <c r="G51">
        <v>0</v>
      </c>
      <c r="H51">
        <v>0</v>
      </c>
      <c r="I51">
        <v>40.291208900002601</v>
      </c>
      <c r="J51">
        <v>6.9643068955528502</v>
      </c>
      <c r="K51">
        <v>584.21225644144704</v>
      </c>
      <c r="L51">
        <v>0</v>
      </c>
      <c r="M51">
        <v>3030.9356312342402</v>
      </c>
      <c r="N51">
        <v>885.45001546321203</v>
      </c>
      <c r="O51">
        <v>118.99427934456401</v>
      </c>
      <c r="P51">
        <v>751.91925848784001</v>
      </c>
      <c r="Q51">
        <v>116.442838869612</v>
      </c>
      <c r="R51">
        <v>0</v>
      </c>
      <c r="S51">
        <v>2011.63164668227</v>
      </c>
      <c r="T51">
        <v>209.57799470959301</v>
      </c>
      <c r="U51">
        <v>1E-3</v>
      </c>
      <c r="V51">
        <v>526.93138170534701</v>
      </c>
    </row>
    <row r="52" spans="1:22" x14ac:dyDescent="0.2">
      <c r="A52">
        <v>6004</v>
      </c>
      <c r="B52">
        <v>18</v>
      </c>
      <c r="C52">
        <v>0</v>
      </c>
      <c r="D52">
        <v>200.9032775204</v>
      </c>
      <c r="E52">
        <v>0</v>
      </c>
      <c r="F52">
        <v>362.15459237230499</v>
      </c>
      <c r="G52">
        <v>0</v>
      </c>
      <c r="H52">
        <v>0</v>
      </c>
      <c r="I52">
        <v>49.490109856986798</v>
      </c>
      <c r="J52">
        <v>4.38023132703945</v>
      </c>
      <c r="K52">
        <v>576.943679987726</v>
      </c>
      <c r="L52">
        <v>0</v>
      </c>
      <c r="M52">
        <v>2942.3036844644198</v>
      </c>
      <c r="N52">
        <v>1032.0938664028199</v>
      </c>
      <c r="O52">
        <v>125.478294120501</v>
      </c>
      <c r="P52">
        <v>734.41238537813297</v>
      </c>
      <c r="Q52">
        <v>116.442838869612</v>
      </c>
      <c r="R52">
        <v>0</v>
      </c>
      <c r="S52">
        <v>1941.9694541797901</v>
      </c>
      <c r="T52">
        <v>216.83161739464799</v>
      </c>
      <c r="U52">
        <v>1E-3</v>
      </c>
      <c r="V52">
        <v>551.99253883458596</v>
      </c>
    </row>
    <row r="53" spans="1:22" x14ac:dyDescent="0.2">
      <c r="A53">
        <v>6004</v>
      </c>
      <c r="B53">
        <v>19</v>
      </c>
      <c r="C53">
        <v>0</v>
      </c>
      <c r="D53">
        <v>243.151992095613</v>
      </c>
      <c r="E53">
        <v>0</v>
      </c>
      <c r="F53">
        <v>376.10351993736401</v>
      </c>
      <c r="G53">
        <v>0</v>
      </c>
      <c r="H53">
        <v>0</v>
      </c>
      <c r="I53">
        <v>59.600226756958897</v>
      </c>
      <c r="J53">
        <v>4.23209472400168</v>
      </c>
      <c r="K53">
        <v>569.453816947718</v>
      </c>
      <c r="L53">
        <v>0</v>
      </c>
      <c r="M53">
        <v>2870.4913358990498</v>
      </c>
      <c r="N53">
        <v>1186.00115259824</v>
      </c>
      <c r="O53">
        <v>131.88699213672899</v>
      </c>
      <c r="P53">
        <v>717.261098493389</v>
      </c>
      <c r="Q53">
        <v>116.442838869612</v>
      </c>
      <c r="R53">
        <v>0</v>
      </c>
      <c r="S53">
        <v>1875.86149183421</v>
      </c>
      <c r="T53">
        <v>234.75747846189</v>
      </c>
      <c r="U53">
        <v>1E-3</v>
      </c>
      <c r="V53">
        <v>548.86246830484504</v>
      </c>
    </row>
    <row r="54" spans="1:22" x14ac:dyDescent="0.2">
      <c r="A54">
        <v>6004</v>
      </c>
      <c r="B54">
        <v>20</v>
      </c>
      <c r="C54">
        <v>0</v>
      </c>
      <c r="D54">
        <v>287.01867334069999</v>
      </c>
      <c r="E54">
        <v>0</v>
      </c>
      <c r="F54">
        <v>385.20927211514402</v>
      </c>
      <c r="G54">
        <v>0</v>
      </c>
      <c r="H54">
        <v>0</v>
      </c>
      <c r="I54">
        <v>70.653816832621402</v>
      </c>
      <c r="J54">
        <v>4.13543354585582</v>
      </c>
      <c r="K54">
        <v>561.74007037259605</v>
      </c>
      <c r="L54">
        <v>0</v>
      </c>
      <c r="M54">
        <v>2820.5461856793399</v>
      </c>
      <c r="N54">
        <v>1359.13812669655</v>
      </c>
      <c r="O54">
        <v>138.229714215228</v>
      </c>
      <c r="P54">
        <v>699.63946378948197</v>
      </c>
      <c r="Q54">
        <v>116.442838869612</v>
      </c>
      <c r="R54">
        <v>0</v>
      </c>
      <c r="S54">
        <v>1807.7774607367901</v>
      </c>
      <c r="T54">
        <v>229.395610253342</v>
      </c>
      <c r="U54">
        <v>1E-3</v>
      </c>
      <c r="V54">
        <v>604.96607892801103</v>
      </c>
    </row>
    <row r="55" spans="1:22" x14ac:dyDescent="0.2">
      <c r="A55">
        <v>6004</v>
      </c>
      <c r="B55">
        <v>21</v>
      </c>
      <c r="C55">
        <v>0</v>
      </c>
      <c r="D55">
        <v>332.12517227739102</v>
      </c>
      <c r="E55">
        <v>0</v>
      </c>
      <c r="F55">
        <v>390.12789375167802</v>
      </c>
      <c r="G55">
        <v>0</v>
      </c>
      <c r="H55">
        <v>0</v>
      </c>
      <c r="I55">
        <v>82.653369823435895</v>
      </c>
      <c r="J55">
        <v>3.5400321525097702</v>
      </c>
      <c r="K55">
        <v>553.76534971660499</v>
      </c>
      <c r="L55">
        <v>0</v>
      </c>
      <c r="M55">
        <v>2731.8334254008</v>
      </c>
      <c r="N55">
        <v>1525.1272366291701</v>
      </c>
      <c r="O55">
        <v>144.49043801581999</v>
      </c>
      <c r="P55">
        <v>683.19193186122004</v>
      </c>
      <c r="Q55">
        <v>116.442838869612</v>
      </c>
      <c r="R55">
        <v>0</v>
      </c>
      <c r="S55">
        <v>1721.9203768167799</v>
      </c>
      <c r="T55">
        <v>224.15620727315499</v>
      </c>
      <c r="U55">
        <v>1E-3</v>
      </c>
      <c r="V55">
        <v>659.916964350645</v>
      </c>
    </row>
    <row r="56" spans="1:22" x14ac:dyDescent="0.2">
      <c r="A56">
        <v>6004</v>
      </c>
      <c r="B56">
        <v>22</v>
      </c>
      <c r="C56">
        <v>0</v>
      </c>
      <c r="D56">
        <v>378.14766044907799</v>
      </c>
      <c r="E56">
        <v>0</v>
      </c>
      <c r="F56">
        <v>391.41599941220198</v>
      </c>
      <c r="G56">
        <v>0</v>
      </c>
      <c r="H56">
        <v>0</v>
      </c>
      <c r="I56">
        <v>95.647244031075005</v>
      </c>
      <c r="J56">
        <v>3.4591777053213901</v>
      </c>
      <c r="K56">
        <v>545.55308567434201</v>
      </c>
      <c r="L56">
        <v>0</v>
      </c>
      <c r="M56">
        <v>2656.7203524671299</v>
      </c>
      <c r="N56">
        <v>1706.6719674641099</v>
      </c>
      <c r="O56">
        <v>150.69776364362801</v>
      </c>
      <c r="P56">
        <v>655.61183014713697</v>
      </c>
      <c r="Q56">
        <v>116.442838869612</v>
      </c>
      <c r="R56">
        <v>0</v>
      </c>
      <c r="S56">
        <v>1649.43626873925</v>
      </c>
      <c r="T56">
        <v>219.036472413213</v>
      </c>
      <c r="U56">
        <v>1E-3</v>
      </c>
      <c r="V56">
        <v>713.94278367217896</v>
      </c>
    </row>
    <row r="57" spans="1:22" x14ac:dyDescent="0.2">
      <c r="A57">
        <v>6004</v>
      </c>
      <c r="B57">
        <v>23</v>
      </c>
      <c r="C57">
        <v>0</v>
      </c>
      <c r="D57">
        <v>424.80980583533102</v>
      </c>
      <c r="E57">
        <v>0</v>
      </c>
      <c r="F57">
        <v>391.41599941220198</v>
      </c>
      <c r="G57">
        <v>0</v>
      </c>
      <c r="H57">
        <v>0</v>
      </c>
      <c r="I57">
        <v>107.986875158001</v>
      </c>
      <c r="J57">
        <v>2.8460393493501299</v>
      </c>
      <c r="K57">
        <v>440.58152108211402</v>
      </c>
      <c r="L57">
        <v>0</v>
      </c>
      <c r="M57">
        <v>2579.1338526443401</v>
      </c>
      <c r="N57">
        <v>1899.3368193886699</v>
      </c>
      <c r="O57">
        <v>156.86461082834899</v>
      </c>
      <c r="P57">
        <v>640.08090865087502</v>
      </c>
      <c r="Q57">
        <v>116.442838869612</v>
      </c>
      <c r="R57">
        <v>0</v>
      </c>
      <c r="S57">
        <v>1574.82227028948</v>
      </c>
      <c r="T57">
        <v>214.03367245188301</v>
      </c>
      <c r="U57">
        <v>1E-3</v>
      </c>
      <c r="V57">
        <v>767.14108251862001</v>
      </c>
    </row>
    <row r="58" spans="1:22" x14ac:dyDescent="0.2">
      <c r="A58">
        <v>6004</v>
      </c>
      <c r="B58">
        <v>24</v>
      </c>
      <c r="C58">
        <v>0</v>
      </c>
      <c r="D58">
        <v>471.84972084318002</v>
      </c>
      <c r="E58">
        <v>0</v>
      </c>
      <c r="F58">
        <v>391.41599941220198</v>
      </c>
      <c r="G58">
        <v>0</v>
      </c>
      <c r="H58">
        <v>0</v>
      </c>
      <c r="I58">
        <v>121.062219073181</v>
      </c>
      <c r="J58">
        <v>2.1344643991660699</v>
      </c>
      <c r="K58">
        <v>431.85508958423401</v>
      </c>
      <c r="L58">
        <v>0</v>
      </c>
      <c r="M58">
        <v>2442.2664326962799</v>
      </c>
      <c r="N58">
        <v>2071.1367696196899</v>
      </c>
      <c r="O58">
        <v>162.978400070785</v>
      </c>
      <c r="P58">
        <v>624.85690687656404</v>
      </c>
      <c r="Q58">
        <v>116.442838869612</v>
      </c>
      <c r="R58">
        <v>0</v>
      </c>
      <c r="S58">
        <v>1497.79995335371</v>
      </c>
      <c r="T58">
        <v>209.14513663731501</v>
      </c>
      <c r="U58">
        <v>1E-3</v>
      </c>
      <c r="V58">
        <v>820.74153246461594</v>
      </c>
    </row>
    <row r="59" spans="1:22" x14ac:dyDescent="0.2">
      <c r="A59">
        <v>6004</v>
      </c>
      <c r="B59">
        <v>25</v>
      </c>
      <c r="C59">
        <v>0</v>
      </c>
      <c r="D59">
        <v>519.002945730222</v>
      </c>
      <c r="E59">
        <v>0</v>
      </c>
      <c r="F59">
        <v>391.41599941220198</v>
      </c>
      <c r="G59">
        <v>0</v>
      </c>
      <c r="H59">
        <v>0</v>
      </c>
      <c r="I59">
        <v>134.87828596353199</v>
      </c>
      <c r="J59">
        <v>1.3054737457809</v>
      </c>
      <c r="K59">
        <v>231.27714538103899</v>
      </c>
      <c r="L59">
        <v>0</v>
      </c>
      <c r="M59">
        <v>2274.2373696694899</v>
      </c>
      <c r="N59">
        <v>2266.8844704029102</v>
      </c>
      <c r="O59">
        <v>169.019220416498</v>
      </c>
      <c r="P59">
        <v>609.92895260896705</v>
      </c>
      <c r="Q59">
        <v>116.442838869612</v>
      </c>
      <c r="R59">
        <v>0</v>
      </c>
      <c r="S59">
        <v>1418.0885341967</v>
      </c>
      <c r="T59">
        <v>204.36825510208499</v>
      </c>
      <c r="U59">
        <v>1E-3</v>
      </c>
      <c r="V59">
        <v>988.71924814059105</v>
      </c>
    </row>
    <row r="60" spans="1:22" x14ac:dyDescent="0.2">
      <c r="A60">
        <v>6004</v>
      </c>
      <c r="B60">
        <v>26</v>
      </c>
      <c r="C60">
        <v>0</v>
      </c>
      <c r="D60">
        <v>574.35661902691595</v>
      </c>
      <c r="E60">
        <v>0</v>
      </c>
      <c r="F60">
        <v>391.41599941220198</v>
      </c>
      <c r="G60">
        <v>0</v>
      </c>
      <c r="H60">
        <v>0</v>
      </c>
      <c r="I60">
        <v>149.356887965038</v>
      </c>
      <c r="J60">
        <v>2.2333927654269399</v>
      </c>
      <c r="K60">
        <v>221.84815531708401</v>
      </c>
      <c r="L60">
        <v>0</v>
      </c>
      <c r="M60">
        <v>2156.98431502213</v>
      </c>
      <c r="N60">
        <v>2481.49452695946</v>
      </c>
      <c r="O60">
        <v>174.88031840403201</v>
      </c>
      <c r="P60">
        <v>594.82308382638803</v>
      </c>
      <c r="Q60">
        <v>116.442838869612</v>
      </c>
      <c r="R60">
        <v>0</v>
      </c>
      <c r="S60">
        <v>1303.0448050826201</v>
      </c>
      <c r="T60">
        <v>199.700477716341</v>
      </c>
      <c r="U60">
        <v>1E-3</v>
      </c>
      <c r="V60">
        <v>966.13686932068299</v>
      </c>
    </row>
    <row r="61" spans="1:22" x14ac:dyDescent="0.2">
      <c r="A61">
        <v>6004</v>
      </c>
      <c r="B61">
        <v>27</v>
      </c>
      <c r="C61">
        <v>0</v>
      </c>
      <c r="D61">
        <v>649.44604013126104</v>
      </c>
      <c r="E61">
        <v>0</v>
      </c>
      <c r="F61">
        <v>391.41599941220198</v>
      </c>
      <c r="G61">
        <v>0</v>
      </c>
      <c r="H61">
        <v>0</v>
      </c>
      <c r="I61">
        <v>164.526899833931</v>
      </c>
      <c r="J61">
        <v>1.0393729044569999</v>
      </c>
      <c r="K61">
        <v>212.032626355692</v>
      </c>
      <c r="L61">
        <v>0</v>
      </c>
      <c r="M61">
        <v>2027.3089304534701</v>
      </c>
      <c r="N61">
        <v>2675.7163578150798</v>
      </c>
      <c r="O61">
        <v>180.55315700167901</v>
      </c>
      <c r="P61">
        <v>580.45603971734397</v>
      </c>
      <c r="Q61">
        <v>116.442838869612</v>
      </c>
      <c r="R61">
        <v>0</v>
      </c>
      <c r="S61">
        <v>1216.40976042087</v>
      </c>
      <c r="T61">
        <v>196.76109097939801</v>
      </c>
      <c r="U61">
        <v>1E-3</v>
      </c>
      <c r="V61">
        <v>972.68953564809499</v>
      </c>
    </row>
    <row r="62" spans="1:22" x14ac:dyDescent="0.2">
      <c r="A62">
        <v>6004</v>
      </c>
      <c r="B62">
        <v>28</v>
      </c>
      <c r="C62">
        <v>0</v>
      </c>
      <c r="D62">
        <v>657.68011848943797</v>
      </c>
      <c r="E62">
        <v>0</v>
      </c>
      <c r="F62">
        <v>391.41599941220198</v>
      </c>
      <c r="G62">
        <v>0</v>
      </c>
      <c r="H62">
        <v>0</v>
      </c>
      <c r="I62">
        <v>180.36895582653699</v>
      </c>
      <c r="J62">
        <v>1.01563359489496</v>
      </c>
      <c r="K62">
        <v>201.82154991792501</v>
      </c>
      <c r="L62">
        <v>0</v>
      </c>
      <c r="M62">
        <v>1894.7497614937199</v>
      </c>
      <c r="N62">
        <v>2887.9191311140498</v>
      </c>
      <c r="O62">
        <v>185.99640155850901</v>
      </c>
      <c r="P62">
        <v>566.35282305113299</v>
      </c>
      <c r="Q62">
        <v>116.442838869612</v>
      </c>
      <c r="R62">
        <v>0</v>
      </c>
      <c r="S62">
        <v>1126.2834853408301</v>
      </c>
      <c r="T62">
        <v>200.62147052899499</v>
      </c>
      <c r="U62">
        <v>1E-3</v>
      </c>
      <c r="V62">
        <v>950.47327580050501</v>
      </c>
    </row>
    <row r="63" spans="1:22" x14ac:dyDescent="0.2">
      <c r="A63">
        <v>6004</v>
      </c>
      <c r="B63">
        <v>29</v>
      </c>
      <c r="C63">
        <v>0</v>
      </c>
      <c r="D63">
        <v>702.17374702944505</v>
      </c>
      <c r="E63">
        <v>0</v>
      </c>
      <c r="F63">
        <v>391.41599941220198</v>
      </c>
      <c r="G63">
        <v>0</v>
      </c>
      <c r="H63">
        <v>0</v>
      </c>
      <c r="I63">
        <v>196.87766074963099</v>
      </c>
      <c r="J63">
        <v>0.99243649135890599</v>
      </c>
      <c r="K63">
        <v>147.89957104646999</v>
      </c>
      <c r="L63">
        <v>0</v>
      </c>
      <c r="M63">
        <v>1754.18997507878</v>
      </c>
      <c r="N63">
        <v>3104.9295678385502</v>
      </c>
      <c r="O63">
        <v>191.21067604871499</v>
      </c>
      <c r="P63">
        <v>552.398229501777</v>
      </c>
      <c r="Q63">
        <v>116.442838869612</v>
      </c>
      <c r="R63">
        <v>0</v>
      </c>
      <c r="S63">
        <v>1030.39138822481</v>
      </c>
      <c r="T63">
        <v>203.84321629384701</v>
      </c>
      <c r="U63">
        <v>1E-3</v>
      </c>
      <c r="V63">
        <v>964.59675269319496</v>
      </c>
    </row>
    <row r="64" spans="1:22" x14ac:dyDescent="0.2">
      <c r="A64">
        <v>6004</v>
      </c>
      <c r="B64">
        <v>30</v>
      </c>
      <c r="C64">
        <v>0</v>
      </c>
      <c r="D64">
        <v>820.81070906101104</v>
      </c>
      <c r="E64">
        <v>0</v>
      </c>
      <c r="F64">
        <v>391.41599941220198</v>
      </c>
      <c r="G64">
        <v>0</v>
      </c>
      <c r="H64">
        <v>0</v>
      </c>
      <c r="I64">
        <v>214.04840703659801</v>
      </c>
      <c r="J64">
        <v>0</v>
      </c>
      <c r="K64">
        <v>136.976461785548</v>
      </c>
      <c r="L64">
        <v>0</v>
      </c>
      <c r="M64">
        <v>1577.4093204112801</v>
      </c>
      <c r="N64">
        <v>3326.79077256046</v>
      </c>
      <c r="O64">
        <v>196.20809627793699</v>
      </c>
      <c r="P64">
        <v>537.72956212684005</v>
      </c>
      <c r="Q64">
        <v>103.135082936365</v>
      </c>
      <c r="R64">
        <v>0</v>
      </c>
      <c r="S64">
        <v>926.14776593480497</v>
      </c>
      <c r="T64">
        <v>207.036344748586</v>
      </c>
      <c r="U64">
        <v>1E-3</v>
      </c>
      <c r="V64">
        <v>1047.6916859108201</v>
      </c>
    </row>
    <row r="65" spans="1:24" x14ac:dyDescent="0.2">
      <c r="A65">
        <v>6004</v>
      </c>
      <c r="B65">
        <v>31</v>
      </c>
      <c r="C65">
        <v>0</v>
      </c>
      <c r="D65">
        <v>854.13577949093599</v>
      </c>
      <c r="E65">
        <v>0</v>
      </c>
      <c r="F65">
        <v>391.41599941220198</v>
      </c>
      <c r="G65">
        <v>0</v>
      </c>
      <c r="H65">
        <v>0</v>
      </c>
      <c r="I65">
        <v>231.794118908282</v>
      </c>
      <c r="J65">
        <v>0</v>
      </c>
      <c r="K65">
        <v>125.705906207978</v>
      </c>
      <c r="L65">
        <v>0</v>
      </c>
      <c r="M65">
        <v>1421.2065821214101</v>
      </c>
      <c r="N65">
        <v>3552.3492034687702</v>
      </c>
      <c r="O65">
        <v>200.931545417439</v>
      </c>
      <c r="P65">
        <v>524.416265436613</v>
      </c>
      <c r="Q65">
        <v>103.135082936365</v>
      </c>
      <c r="R65">
        <v>0</v>
      </c>
      <c r="S65">
        <v>819.57178664152605</v>
      </c>
      <c r="T65">
        <v>209.94653387355501</v>
      </c>
      <c r="U65">
        <v>1E-3</v>
      </c>
      <c r="V65">
        <v>1015.2553374706901</v>
      </c>
    </row>
    <row r="66" spans="1:24" x14ac:dyDescent="0.2">
      <c r="A66">
        <v>6004</v>
      </c>
      <c r="B66">
        <v>32</v>
      </c>
      <c r="C66">
        <v>0</v>
      </c>
      <c r="D66">
        <v>854.13577949093599</v>
      </c>
      <c r="E66">
        <v>0</v>
      </c>
      <c r="F66">
        <v>391.41599941220198</v>
      </c>
      <c r="G66">
        <v>0</v>
      </c>
      <c r="H66">
        <v>0</v>
      </c>
      <c r="I66">
        <v>250.159711487923</v>
      </c>
      <c r="J66">
        <v>0</v>
      </c>
      <c r="K66">
        <v>114.114635152576</v>
      </c>
      <c r="L66">
        <v>0</v>
      </c>
      <c r="M66">
        <v>1257.3470758313599</v>
      </c>
      <c r="N66">
        <v>3781.2122297772298</v>
      </c>
      <c r="O66">
        <v>205.374790527089</v>
      </c>
      <c r="P66">
        <v>511.22208829556899</v>
      </c>
      <c r="Q66">
        <v>103.135082936365</v>
      </c>
      <c r="R66">
        <v>0</v>
      </c>
      <c r="S66">
        <v>703.80098800290602</v>
      </c>
      <c r="T66">
        <v>212.57186924148601</v>
      </c>
      <c r="U66">
        <v>1E-3</v>
      </c>
      <c r="V66">
        <v>1021.40582748798</v>
      </c>
    </row>
    <row r="67" spans="1:24" x14ac:dyDescent="0.2">
      <c r="A67">
        <v>6004</v>
      </c>
      <c r="B67">
        <v>33</v>
      </c>
      <c r="C67">
        <v>0</v>
      </c>
      <c r="D67">
        <v>908.580768602136</v>
      </c>
      <c r="E67">
        <v>0</v>
      </c>
      <c r="F67">
        <v>391.41599941220198</v>
      </c>
      <c r="G67">
        <v>0</v>
      </c>
      <c r="H67">
        <v>0</v>
      </c>
      <c r="I67">
        <v>269.14933440021701</v>
      </c>
      <c r="J67">
        <v>0</v>
      </c>
      <c r="K67">
        <v>102.234436149777</v>
      </c>
      <c r="L67">
        <v>0</v>
      </c>
      <c r="M67">
        <v>1065.0146853444701</v>
      </c>
      <c r="N67">
        <v>4013.2630677130501</v>
      </c>
      <c r="O67">
        <v>209.54764632243399</v>
      </c>
      <c r="P67">
        <v>498.32999848952801</v>
      </c>
      <c r="Q67">
        <v>103.135082936365</v>
      </c>
      <c r="R67">
        <v>0</v>
      </c>
      <c r="S67">
        <v>598.94249537897997</v>
      </c>
      <c r="T67">
        <v>214.926745351606</v>
      </c>
      <c r="U67">
        <v>1E-3</v>
      </c>
      <c r="V67">
        <v>1054.7223213465199</v>
      </c>
    </row>
    <row r="68" spans="1:24" x14ac:dyDescent="0.2">
      <c r="A68">
        <v>6004</v>
      </c>
      <c r="B68">
        <v>34</v>
      </c>
      <c r="C68">
        <v>0</v>
      </c>
      <c r="D68">
        <v>908.580768602136</v>
      </c>
      <c r="E68">
        <v>0</v>
      </c>
      <c r="F68">
        <v>391.41599941220198</v>
      </c>
      <c r="G68">
        <v>0</v>
      </c>
      <c r="H68">
        <v>0</v>
      </c>
      <c r="I68">
        <v>288.77593728546799</v>
      </c>
      <c r="J68">
        <v>0</v>
      </c>
      <c r="K68">
        <v>90.095442196653707</v>
      </c>
      <c r="L68">
        <v>0</v>
      </c>
      <c r="M68">
        <v>886.91962720328502</v>
      </c>
      <c r="N68">
        <v>4248.5544529930803</v>
      </c>
      <c r="O68">
        <v>213.46772143122701</v>
      </c>
      <c r="P68">
        <v>485.74034627296999</v>
      </c>
      <c r="Q68">
        <v>103.135082936365</v>
      </c>
      <c r="R68">
        <v>0</v>
      </c>
      <c r="S68">
        <v>479.85490507067198</v>
      </c>
      <c r="T68">
        <v>217.03279640551</v>
      </c>
      <c r="U68">
        <v>1E-3</v>
      </c>
      <c r="V68">
        <v>1057.3206856040799</v>
      </c>
    </row>
    <row r="69" spans="1:24" x14ac:dyDescent="0.2">
      <c r="A69">
        <v>6004</v>
      </c>
      <c r="B69">
        <v>35</v>
      </c>
      <c r="C69">
        <v>0</v>
      </c>
      <c r="D69">
        <v>978.623363610718</v>
      </c>
      <c r="E69">
        <v>0</v>
      </c>
      <c r="F69">
        <v>391.41599941220198</v>
      </c>
      <c r="G69">
        <v>0</v>
      </c>
      <c r="H69">
        <v>0</v>
      </c>
      <c r="I69">
        <v>309.04942493239997</v>
      </c>
      <c r="J69">
        <v>0</v>
      </c>
      <c r="K69">
        <v>77.721013197638797</v>
      </c>
      <c r="L69">
        <v>0</v>
      </c>
      <c r="M69">
        <v>674.40645234772398</v>
      </c>
      <c r="N69">
        <v>4487.5247730650599</v>
      </c>
      <c r="O69">
        <v>217.14239113148699</v>
      </c>
      <c r="P69">
        <v>473.38279181925299</v>
      </c>
      <c r="Q69">
        <v>103.135082936365</v>
      </c>
      <c r="R69">
        <v>0</v>
      </c>
      <c r="S69">
        <v>370.63417807672602</v>
      </c>
      <c r="T69">
        <v>218.98508426304701</v>
      </c>
      <c r="U69">
        <v>1E-3</v>
      </c>
      <c r="V69">
        <v>1096.06351989994</v>
      </c>
    </row>
    <row r="70" spans="1:24" x14ac:dyDescent="0.2">
      <c r="A70">
        <v>6004</v>
      </c>
      <c r="B70">
        <v>36</v>
      </c>
      <c r="C70">
        <v>0</v>
      </c>
      <c r="D70">
        <v>978.623363610718</v>
      </c>
      <c r="E70">
        <v>0</v>
      </c>
      <c r="F70">
        <v>391.41599941220198</v>
      </c>
      <c r="G70">
        <v>0</v>
      </c>
      <c r="H70">
        <v>0</v>
      </c>
      <c r="I70">
        <v>329.31101986285898</v>
      </c>
      <c r="J70">
        <v>0</v>
      </c>
      <c r="K70">
        <v>65.162175789877793</v>
      </c>
      <c r="L70">
        <v>0</v>
      </c>
      <c r="M70">
        <v>483.66199007929998</v>
      </c>
      <c r="N70">
        <v>4735.9850468630902</v>
      </c>
      <c r="O70">
        <v>225.42190595067399</v>
      </c>
      <c r="P70">
        <v>471.96829717351801</v>
      </c>
      <c r="Q70">
        <v>103.135082936365</v>
      </c>
      <c r="R70">
        <v>0</v>
      </c>
      <c r="S70">
        <v>259.78580260957301</v>
      </c>
      <c r="T70">
        <v>226.51681804696901</v>
      </c>
      <c r="U70">
        <v>1E-3</v>
      </c>
      <c r="V70">
        <v>1146.2379672309501</v>
      </c>
    </row>
    <row r="71" spans="1:24" x14ac:dyDescent="0.2">
      <c r="A71">
        <v>6004</v>
      </c>
      <c r="B71">
        <v>37</v>
      </c>
      <c r="C71">
        <v>0</v>
      </c>
      <c r="D71">
        <v>1016.39985077228</v>
      </c>
      <c r="E71">
        <v>0</v>
      </c>
      <c r="F71">
        <v>391.41599941220198</v>
      </c>
      <c r="G71">
        <v>0</v>
      </c>
      <c r="H71">
        <v>0</v>
      </c>
      <c r="I71">
        <v>350.11495466797601</v>
      </c>
      <c r="J71">
        <v>0</v>
      </c>
      <c r="K71">
        <v>52.370175245206099</v>
      </c>
      <c r="L71">
        <v>0</v>
      </c>
      <c r="M71">
        <v>286.11129464973601</v>
      </c>
      <c r="N71">
        <v>4985.6053491193597</v>
      </c>
      <c r="O71">
        <v>233.54536881800701</v>
      </c>
      <c r="P71">
        <v>470.529717581787</v>
      </c>
      <c r="Q71">
        <v>103.135082936365</v>
      </c>
      <c r="R71">
        <v>0</v>
      </c>
      <c r="S71">
        <v>139.046739220825</v>
      </c>
      <c r="T71">
        <v>233.81140708081099</v>
      </c>
      <c r="U71">
        <v>1E-3</v>
      </c>
      <c r="V71">
        <v>1255.6145791609499</v>
      </c>
    </row>
    <row r="72" spans="1:24" x14ac:dyDescent="0.2">
      <c r="A72">
        <v>6004</v>
      </c>
      <c r="B72">
        <v>38</v>
      </c>
      <c r="C72">
        <v>0</v>
      </c>
      <c r="D72">
        <v>1072.7399262720901</v>
      </c>
      <c r="E72">
        <v>0</v>
      </c>
      <c r="F72">
        <v>391.41599941220198</v>
      </c>
      <c r="G72">
        <v>0</v>
      </c>
      <c r="H72">
        <v>0</v>
      </c>
      <c r="I72">
        <v>371.42660047484401</v>
      </c>
      <c r="J72">
        <v>0</v>
      </c>
      <c r="K72">
        <v>39.389188540575503</v>
      </c>
      <c r="L72">
        <v>0</v>
      </c>
      <c r="M72">
        <v>78.448923091924101</v>
      </c>
      <c r="N72">
        <v>5324.1627910303596</v>
      </c>
      <c r="O72">
        <v>241.49703694176</v>
      </c>
      <c r="P72">
        <v>469.07119388464702</v>
      </c>
      <c r="Q72">
        <v>103.135082936365</v>
      </c>
      <c r="R72">
        <v>0</v>
      </c>
      <c r="S72">
        <v>24.4723370329441</v>
      </c>
      <c r="T72">
        <v>242.01622829161701</v>
      </c>
      <c r="U72">
        <v>1E-3</v>
      </c>
      <c r="V72">
        <v>1435.59959730131</v>
      </c>
    </row>
    <row r="73" spans="1:24" x14ac:dyDescent="0.2">
      <c r="A73">
        <v>6004</v>
      </c>
      <c r="B73">
        <v>39</v>
      </c>
      <c r="C73">
        <v>0</v>
      </c>
      <c r="D73">
        <v>1107.0832139302499</v>
      </c>
      <c r="E73">
        <v>0</v>
      </c>
      <c r="F73">
        <v>391.41599941220198</v>
      </c>
      <c r="G73">
        <v>0</v>
      </c>
      <c r="H73">
        <v>0</v>
      </c>
      <c r="I73">
        <v>393.24268280124198</v>
      </c>
      <c r="J73">
        <v>0</v>
      </c>
      <c r="K73">
        <v>39.389188540575503</v>
      </c>
      <c r="L73">
        <v>0</v>
      </c>
      <c r="M73">
        <v>78.448923091924101</v>
      </c>
      <c r="N73">
        <v>5531.1193588456299</v>
      </c>
      <c r="O73">
        <v>249.08908924593999</v>
      </c>
      <c r="P73">
        <v>469.07119388464702</v>
      </c>
      <c r="Q73">
        <v>103.135082936365</v>
      </c>
      <c r="R73">
        <v>0</v>
      </c>
      <c r="S73">
        <v>24.4723370329441</v>
      </c>
      <c r="T73">
        <v>251.872930182521</v>
      </c>
      <c r="U73">
        <v>1E-3</v>
      </c>
      <c r="V73">
        <v>1425.80152445401</v>
      </c>
    </row>
    <row r="74" spans="1:24" x14ac:dyDescent="0.2">
      <c r="A74">
        <v>6004</v>
      </c>
      <c r="B74">
        <v>40</v>
      </c>
      <c r="C74">
        <v>0</v>
      </c>
      <c r="D74">
        <v>1138.3290349701599</v>
      </c>
      <c r="E74">
        <v>0</v>
      </c>
      <c r="F74">
        <v>391.41599941220198</v>
      </c>
      <c r="G74">
        <v>0</v>
      </c>
      <c r="H74">
        <v>0</v>
      </c>
      <c r="I74">
        <v>415.52395033243499</v>
      </c>
      <c r="J74">
        <v>0</v>
      </c>
      <c r="K74">
        <v>39.389188540575503</v>
      </c>
      <c r="L74">
        <v>0</v>
      </c>
      <c r="M74">
        <v>78.448923091924101</v>
      </c>
      <c r="N74">
        <v>5805.7540389737496</v>
      </c>
      <c r="O74">
        <v>256.34898188290703</v>
      </c>
      <c r="P74">
        <v>469.07119388464702</v>
      </c>
      <c r="Q74">
        <v>103.135082936365</v>
      </c>
      <c r="R74">
        <v>0</v>
      </c>
      <c r="S74">
        <v>17.129167288767398</v>
      </c>
      <c r="T74">
        <v>261.400086265109</v>
      </c>
      <c r="U74">
        <v>1E-3</v>
      </c>
      <c r="V74">
        <v>1297.5193503686501</v>
      </c>
    </row>
    <row r="75" spans="1:24" x14ac:dyDescent="0.2">
      <c r="A75">
        <v>6004</v>
      </c>
      <c r="B75">
        <v>41</v>
      </c>
      <c r="C75">
        <v>0</v>
      </c>
      <c r="D75">
        <v>1166.61510001397</v>
      </c>
      <c r="E75">
        <v>0</v>
      </c>
      <c r="F75">
        <v>391.41599941220198</v>
      </c>
      <c r="G75">
        <v>0</v>
      </c>
      <c r="H75">
        <v>0</v>
      </c>
      <c r="I75">
        <v>439.73480144337799</v>
      </c>
      <c r="J75">
        <v>0</v>
      </c>
      <c r="K75">
        <v>39.389188540575503</v>
      </c>
      <c r="L75">
        <v>0</v>
      </c>
      <c r="M75">
        <v>78.448923091924101</v>
      </c>
      <c r="N75">
        <v>6019.5044847907902</v>
      </c>
      <c r="O75">
        <v>279.54006835541497</v>
      </c>
      <c r="P75">
        <v>469.07119388464702</v>
      </c>
      <c r="Q75">
        <v>103.135082936365</v>
      </c>
      <c r="R75">
        <v>0</v>
      </c>
      <c r="S75">
        <v>17.129167288767398</v>
      </c>
      <c r="T75">
        <v>264.52133179172603</v>
      </c>
      <c r="U75">
        <v>1E-3</v>
      </c>
      <c r="V75">
        <v>1247.75620627285</v>
      </c>
    </row>
    <row r="76" spans="1:24" x14ac:dyDescent="0.2">
      <c r="A76">
        <v>6004</v>
      </c>
      <c r="B76">
        <v>42</v>
      </c>
      <c r="C76">
        <v>0</v>
      </c>
      <c r="D76">
        <v>1191.65588126377</v>
      </c>
      <c r="E76">
        <v>0</v>
      </c>
      <c r="F76">
        <v>391.41599941220198</v>
      </c>
      <c r="G76">
        <v>0</v>
      </c>
      <c r="H76">
        <v>0</v>
      </c>
      <c r="I76">
        <v>463.04013443911401</v>
      </c>
      <c r="J76">
        <v>0</v>
      </c>
      <c r="K76">
        <v>39.389188540575503</v>
      </c>
      <c r="L76">
        <v>0</v>
      </c>
      <c r="M76">
        <v>78.448923091924101</v>
      </c>
      <c r="N76">
        <v>6231.3935960995104</v>
      </c>
      <c r="O76">
        <v>294.60900001053801</v>
      </c>
      <c r="P76">
        <v>469.07119388464702</v>
      </c>
      <c r="Q76">
        <v>103.135082936365</v>
      </c>
      <c r="R76">
        <v>0</v>
      </c>
      <c r="S76">
        <v>17.129167288767398</v>
      </c>
      <c r="T76">
        <v>273.08772185740497</v>
      </c>
      <c r="U76">
        <v>1E-3</v>
      </c>
      <c r="V76">
        <v>1196.53772480352</v>
      </c>
    </row>
    <row r="77" spans="1:24" x14ac:dyDescent="0.2">
      <c r="A77">
        <v>6004</v>
      </c>
      <c r="B77">
        <v>43</v>
      </c>
      <c r="C77">
        <v>0</v>
      </c>
      <c r="D77">
        <v>1212.79458804003</v>
      </c>
      <c r="E77">
        <v>0</v>
      </c>
      <c r="F77">
        <v>391.41599941220198</v>
      </c>
      <c r="G77">
        <v>0</v>
      </c>
      <c r="H77">
        <v>0</v>
      </c>
      <c r="I77">
        <v>487.86312057211001</v>
      </c>
      <c r="J77">
        <v>0</v>
      </c>
      <c r="K77">
        <v>39.389188540575503</v>
      </c>
      <c r="L77">
        <v>0</v>
      </c>
      <c r="M77">
        <v>78.448923091924101</v>
      </c>
      <c r="N77">
        <v>6433.1087869234398</v>
      </c>
      <c r="O77">
        <v>324.492354262719</v>
      </c>
      <c r="P77">
        <v>469.07119388464702</v>
      </c>
      <c r="Q77">
        <v>103.135082936365</v>
      </c>
      <c r="R77">
        <v>0</v>
      </c>
      <c r="S77">
        <v>17.129167288767398</v>
      </c>
      <c r="T77">
        <v>282.28555327721602</v>
      </c>
      <c r="U77">
        <v>1E-3</v>
      </c>
      <c r="V77">
        <v>1140.6133923400801</v>
      </c>
    </row>
    <row r="78" spans="1:24" x14ac:dyDescent="0.2">
      <c r="A78">
        <v>6004</v>
      </c>
      <c r="B78">
        <v>44</v>
      </c>
      <c r="C78">
        <v>0</v>
      </c>
      <c r="D78">
        <v>1229.59809107413</v>
      </c>
      <c r="E78">
        <v>0</v>
      </c>
      <c r="F78">
        <v>391.41599941220198</v>
      </c>
      <c r="G78">
        <v>0</v>
      </c>
      <c r="H78">
        <v>0</v>
      </c>
      <c r="I78">
        <v>510.21174503808999</v>
      </c>
      <c r="J78">
        <v>0</v>
      </c>
      <c r="K78">
        <v>39.389188540575503</v>
      </c>
      <c r="L78">
        <v>0</v>
      </c>
      <c r="M78">
        <v>78.448923091924101</v>
      </c>
      <c r="N78">
        <v>6633.8381578489598</v>
      </c>
      <c r="O78">
        <v>320.16121280451898</v>
      </c>
      <c r="P78">
        <v>469.07119388464702</v>
      </c>
      <c r="Q78">
        <v>103.135082936365</v>
      </c>
      <c r="R78">
        <v>0</v>
      </c>
      <c r="S78">
        <v>17.129167288767398</v>
      </c>
      <c r="T78">
        <v>277.33956037382899</v>
      </c>
      <c r="U78">
        <v>1E-3</v>
      </c>
      <c r="V78">
        <v>1084.75226541865</v>
      </c>
    </row>
    <row r="79" spans="1:24" x14ac:dyDescent="0.2">
      <c r="A79">
        <v>6004</v>
      </c>
      <c r="B79">
        <v>45</v>
      </c>
      <c r="C79">
        <v>0</v>
      </c>
      <c r="D79">
        <v>1229.59809107413</v>
      </c>
      <c r="E79">
        <v>0</v>
      </c>
      <c r="F79">
        <v>391.41599941220198</v>
      </c>
      <c r="G79">
        <v>0</v>
      </c>
      <c r="H79">
        <v>0</v>
      </c>
      <c r="I79">
        <v>534.22362954377104</v>
      </c>
      <c r="J79">
        <v>0</v>
      </c>
      <c r="K79">
        <v>39.389188540575503</v>
      </c>
      <c r="L79">
        <v>0</v>
      </c>
      <c r="M79">
        <v>78.448923091924101</v>
      </c>
      <c r="N79">
        <v>9562.4342610789008</v>
      </c>
      <c r="O79">
        <v>403.88958393260799</v>
      </c>
      <c r="P79">
        <v>469.07119388464702</v>
      </c>
      <c r="Q79">
        <v>103.135082936365</v>
      </c>
      <c r="R79">
        <v>0</v>
      </c>
      <c r="S79">
        <v>17.129167288767398</v>
      </c>
      <c r="T79">
        <v>388.74096267924898</v>
      </c>
      <c r="U79">
        <v>1E-3</v>
      </c>
      <c r="V79">
        <v>908.443647814104</v>
      </c>
    </row>
    <row r="80" spans="1:24" x14ac:dyDescent="0.2">
      <c r="C80" s="3">
        <f t="shared" ref="C80:L80" si="3">+SUM(C42:C79)</f>
        <v>0</v>
      </c>
      <c r="D80" s="3">
        <f t="shared" si="3"/>
        <v>22597.407827060943</v>
      </c>
      <c r="E80" s="3">
        <f t="shared" si="3"/>
        <v>0</v>
      </c>
      <c r="F80" s="3">
        <f t="shared" si="3"/>
        <v>12668.329819610293</v>
      </c>
      <c r="G80" s="3">
        <f t="shared" si="3"/>
        <v>0</v>
      </c>
      <c r="H80" s="3">
        <f t="shared" si="3"/>
        <v>0</v>
      </c>
      <c r="I80" s="3">
        <f t="shared" si="3"/>
        <v>7411.2363010475292</v>
      </c>
      <c r="J80" s="3">
        <f t="shared" si="3"/>
        <v>336.91356038633268</v>
      </c>
      <c r="K80" s="3">
        <f t="shared" si="3"/>
        <v>12099.181628050332</v>
      </c>
      <c r="L80" s="3">
        <f t="shared" si="3"/>
        <v>0</v>
      </c>
      <c r="M80" s="9">
        <f>+SUM(M42:M79)</f>
        <v>71142.387619981731</v>
      </c>
      <c r="N80" s="3">
        <f t="shared" ref="N80:V80" si="4">+SUM(N42:N79)</f>
        <v>112397.33218775713</v>
      </c>
      <c r="O80" s="3">
        <f t="shared" si="4"/>
        <v>7282.6653420836883</v>
      </c>
      <c r="P80" s="3">
        <f t="shared" si="4"/>
        <v>23766.004393173138</v>
      </c>
      <c r="Q80" s="3">
        <f t="shared" si="4"/>
        <v>4431.7762214793593</v>
      </c>
      <c r="R80" s="3">
        <f t="shared" si="4"/>
        <v>0</v>
      </c>
      <c r="S80" s="3">
        <f t="shared" si="4"/>
        <v>45362.416171089848</v>
      </c>
      <c r="T80" s="3">
        <f t="shared" si="4"/>
        <v>7969.4066500558592</v>
      </c>
      <c r="U80" s="3">
        <f t="shared" si="4"/>
        <v>3.8000000000000027E-2</v>
      </c>
      <c r="V80" s="3">
        <f t="shared" si="4"/>
        <v>32640.845486899841</v>
      </c>
      <c r="X80" s="3">
        <f>+SUM(C80:V80)</f>
        <v>360105.94120867603</v>
      </c>
    </row>
    <row r="81" spans="1:24" x14ac:dyDescent="0.2"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X81" s="3"/>
    </row>
    <row r="83" spans="1:24" x14ac:dyDescent="0.2">
      <c r="A83">
        <v>6004</v>
      </c>
      <c r="B83">
        <v>8</v>
      </c>
      <c r="C83" s="3">
        <f>+(C42-C2)</f>
        <v>0</v>
      </c>
      <c r="D83" s="3">
        <f t="shared" ref="D83:V83" si="5">+(D42-D2)</f>
        <v>0</v>
      </c>
      <c r="E83" s="3">
        <f t="shared" si="5"/>
        <v>0</v>
      </c>
      <c r="F83" s="3">
        <f t="shared" si="5"/>
        <v>20.939844196821301</v>
      </c>
      <c r="G83" s="3">
        <f t="shared" si="5"/>
        <v>0</v>
      </c>
      <c r="H83" s="3">
        <f t="shared" si="5"/>
        <v>0</v>
      </c>
      <c r="I83" s="3">
        <f t="shared" si="5"/>
        <v>7.0918987804539091E-3</v>
      </c>
      <c r="J83" s="3">
        <f t="shared" si="5"/>
        <v>0</v>
      </c>
      <c r="K83" s="3">
        <f t="shared" si="5"/>
        <v>2.1650083144710379</v>
      </c>
      <c r="L83" s="3">
        <f t="shared" si="5"/>
        <v>0</v>
      </c>
      <c r="M83" s="3">
        <f t="shared" si="5"/>
        <v>15.220177236659765</v>
      </c>
      <c r="N83" s="3">
        <f t="shared" si="5"/>
        <v>0</v>
      </c>
      <c r="O83" s="3">
        <f t="shared" si="5"/>
        <v>2.7244415649988696E-2</v>
      </c>
      <c r="P83" s="3">
        <f t="shared" si="5"/>
        <v>0.14886998901806692</v>
      </c>
      <c r="Q83" s="3">
        <f t="shared" si="5"/>
        <v>0.18620315847201141</v>
      </c>
      <c r="R83" s="3">
        <f t="shared" si="5"/>
        <v>0</v>
      </c>
      <c r="S83" s="3">
        <f t="shared" si="5"/>
        <v>7.5312209393000558</v>
      </c>
      <c r="T83" s="3">
        <f t="shared" si="5"/>
        <v>2.278169972669275E-7</v>
      </c>
      <c r="U83" s="3">
        <f t="shared" si="5"/>
        <v>0</v>
      </c>
      <c r="V83" s="3">
        <f t="shared" si="5"/>
        <v>5.8862701735051814E-7</v>
      </c>
      <c r="X83" s="2">
        <f>+(SUM(C83:V83)*1000000)/1000000000</f>
        <v>4.6225660965616693E-2</v>
      </c>
    </row>
    <row r="84" spans="1:24" x14ac:dyDescent="0.2">
      <c r="A84">
        <v>6004</v>
      </c>
      <c r="B84">
        <v>9</v>
      </c>
      <c r="C84" s="3">
        <f t="shared" ref="C84:V96" si="6">+(C43-C3)</f>
        <v>0</v>
      </c>
      <c r="D84" s="3">
        <f t="shared" si="6"/>
        <v>0</v>
      </c>
      <c r="E84" s="3">
        <f t="shared" si="6"/>
        <v>0</v>
      </c>
      <c r="F84" s="3">
        <f t="shared" si="6"/>
        <v>41.787528071059</v>
      </c>
      <c r="G84" s="3">
        <f t="shared" si="6"/>
        <v>0</v>
      </c>
      <c r="H84" s="3">
        <f t="shared" si="6"/>
        <v>0</v>
      </c>
      <c r="I84" s="3">
        <f t="shared" si="6"/>
        <v>1.4334856812786012E-2</v>
      </c>
      <c r="J84" s="3">
        <f t="shared" si="6"/>
        <v>0</v>
      </c>
      <c r="K84" s="3">
        <f t="shared" si="6"/>
        <v>2.5401725686110694</v>
      </c>
      <c r="L84" s="3">
        <f t="shared" si="6"/>
        <v>0</v>
      </c>
      <c r="M84" s="3">
        <f t="shared" si="6"/>
        <v>27.513182619350118</v>
      </c>
      <c r="N84" s="3">
        <f t="shared" si="6"/>
        <v>0</v>
      </c>
      <c r="O84" s="3">
        <f t="shared" si="6"/>
        <v>7.2703755747994592E-2</v>
      </c>
      <c r="P84" s="3">
        <f t="shared" si="6"/>
        <v>0.35041951917105507</v>
      </c>
      <c r="Q84" s="3">
        <f t="shared" si="6"/>
        <v>0.35787951189399791</v>
      </c>
      <c r="R84" s="3">
        <f t="shared" si="6"/>
        <v>0</v>
      </c>
      <c r="S84" s="3">
        <f t="shared" si="6"/>
        <v>22.420387611889964</v>
      </c>
      <c r="T84" s="3">
        <f t="shared" si="6"/>
        <v>1.1704401121779995</v>
      </c>
      <c r="U84" s="3">
        <f t="shared" si="6"/>
        <v>0</v>
      </c>
      <c r="V84" s="3">
        <f t="shared" si="6"/>
        <v>3.437064891801981</v>
      </c>
      <c r="X84" s="2">
        <f t="shared" ref="X84:X120" si="7">+(SUM(C84:V84)*1000000)/1000000000</f>
        <v>9.9664113518515965E-2</v>
      </c>
    </row>
    <row r="85" spans="1:24" x14ac:dyDescent="0.2">
      <c r="A85">
        <v>6004</v>
      </c>
      <c r="B85">
        <v>10</v>
      </c>
      <c r="C85" s="3">
        <f t="shared" si="6"/>
        <v>0</v>
      </c>
      <c r="D85" s="3">
        <f t="shared" si="6"/>
        <v>0</v>
      </c>
      <c r="E85" s="3">
        <f t="shared" si="6"/>
        <v>0</v>
      </c>
      <c r="F85" s="3">
        <f t="shared" si="6"/>
        <v>62.398220500348302</v>
      </c>
      <c r="G85" s="3">
        <f t="shared" si="6"/>
        <v>0</v>
      </c>
      <c r="H85" s="3">
        <f t="shared" si="6"/>
        <v>0</v>
      </c>
      <c r="I85" s="3">
        <f t="shared" si="6"/>
        <v>2.2479668333257985E-2</v>
      </c>
      <c r="J85" s="3">
        <f t="shared" si="6"/>
        <v>0</v>
      </c>
      <c r="K85" s="3">
        <f t="shared" si="6"/>
        <v>3.7998927263599853</v>
      </c>
      <c r="L85" s="3">
        <f t="shared" si="6"/>
        <v>0</v>
      </c>
      <c r="M85" s="3">
        <f t="shared" si="6"/>
        <v>49.002953815360343</v>
      </c>
      <c r="N85" s="3">
        <f t="shared" si="6"/>
        <v>0</v>
      </c>
      <c r="O85" s="3">
        <f t="shared" si="6"/>
        <v>0.10871421278798721</v>
      </c>
      <c r="P85" s="3">
        <f t="shared" si="6"/>
        <v>0.52419926052596111</v>
      </c>
      <c r="Q85" s="3">
        <f t="shared" si="6"/>
        <v>1.7475253148119947</v>
      </c>
      <c r="R85" s="3">
        <f t="shared" si="6"/>
        <v>0</v>
      </c>
      <c r="S85" s="3">
        <f t="shared" si="6"/>
        <v>33.53908662008962</v>
      </c>
      <c r="T85" s="3">
        <f t="shared" si="6"/>
        <v>2.1466548001439918</v>
      </c>
      <c r="U85" s="3">
        <f t="shared" si="6"/>
        <v>0</v>
      </c>
      <c r="V85" s="3">
        <f t="shared" si="6"/>
        <v>5.0241374607940088</v>
      </c>
      <c r="X85" s="2">
        <f t="shared" si="7"/>
        <v>0.15831386437955547</v>
      </c>
    </row>
    <row r="86" spans="1:24" x14ac:dyDescent="0.2">
      <c r="A86">
        <v>6004</v>
      </c>
      <c r="B86">
        <v>11</v>
      </c>
      <c r="C86" s="3">
        <f t="shared" si="6"/>
        <v>0</v>
      </c>
      <c r="D86" s="3">
        <f t="shared" si="6"/>
        <v>6.2408901752373804</v>
      </c>
      <c r="E86" s="3">
        <f t="shared" si="6"/>
        <v>0</v>
      </c>
      <c r="F86" s="3">
        <f t="shared" si="6"/>
        <v>111.843321298333</v>
      </c>
      <c r="G86" s="3">
        <f t="shared" si="6"/>
        <v>0</v>
      </c>
      <c r="H86" s="3">
        <f t="shared" si="6"/>
        <v>0</v>
      </c>
      <c r="I86" s="3">
        <f t="shared" si="6"/>
        <v>2.4068788481947601</v>
      </c>
      <c r="J86" s="3">
        <f t="shared" si="6"/>
        <v>-91.401173330634791</v>
      </c>
      <c r="K86" s="3">
        <f t="shared" si="6"/>
        <v>-5.4125207291369861</v>
      </c>
      <c r="L86" s="3">
        <f t="shared" si="6"/>
        <v>0</v>
      </c>
      <c r="M86" s="3">
        <f t="shared" si="6"/>
        <v>-67.841621465479875</v>
      </c>
      <c r="N86" s="3">
        <f t="shared" si="6"/>
        <v>117.336143228797</v>
      </c>
      <c r="O86" s="3">
        <f t="shared" si="6"/>
        <v>-6.3568695280015106</v>
      </c>
      <c r="P86" s="3">
        <f t="shared" si="6"/>
        <v>-0.5224497386980147</v>
      </c>
      <c r="Q86" s="3">
        <f t="shared" si="6"/>
        <v>1.6370054759630079</v>
      </c>
      <c r="R86" s="3">
        <f t="shared" si="6"/>
        <v>0</v>
      </c>
      <c r="S86" s="3">
        <f t="shared" si="6"/>
        <v>-47.772664819779948</v>
      </c>
      <c r="T86" s="3">
        <f t="shared" si="6"/>
        <v>8.0802865555260013</v>
      </c>
      <c r="U86" s="3">
        <f t="shared" si="6"/>
        <v>0</v>
      </c>
      <c r="V86" s="3">
        <f t="shared" si="6"/>
        <v>81.438857840026003</v>
      </c>
      <c r="X86" s="2">
        <f t="shared" si="7"/>
        <v>0.10967608381034602</v>
      </c>
    </row>
    <row r="87" spans="1:24" x14ac:dyDescent="0.2">
      <c r="A87">
        <v>6004</v>
      </c>
      <c r="B87">
        <v>12</v>
      </c>
      <c r="C87" s="3">
        <f t="shared" si="6"/>
        <v>0</v>
      </c>
      <c r="D87" s="3">
        <f t="shared" si="6"/>
        <v>17.615588743759599</v>
      </c>
      <c r="E87" s="3">
        <f t="shared" si="6"/>
        <v>0</v>
      </c>
      <c r="F87" s="3">
        <f t="shared" si="6"/>
        <v>153.441049320643</v>
      </c>
      <c r="G87" s="3">
        <f t="shared" si="6"/>
        <v>0</v>
      </c>
      <c r="H87" s="3">
        <f t="shared" si="6"/>
        <v>0</v>
      </c>
      <c r="I87" s="3">
        <f t="shared" si="6"/>
        <v>5.1399073363115404</v>
      </c>
      <c r="J87" s="3">
        <f t="shared" si="6"/>
        <v>0.52352317106800683</v>
      </c>
      <c r="K87" s="3">
        <f t="shared" si="6"/>
        <v>-14.666063515781047</v>
      </c>
      <c r="L87" s="3">
        <f t="shared" si="6"/>
        <v>0</v>
      </c>
      <c r="M87" s="3">
        <f t="shared" si="6"/>
        <v>-215.89902197738002</v>
      </c>
      <c r="N87" s="3">
        <f t="shared" si="6"/>
        <v>253.49835572324201</v>
      </c>
      <c r="O87" s="3">
        <f t="shared" si="6"/>
        <v>16.70239020354289</v>
      </c>
      <c r="P87" s="3">
        <f t="shared" si="6"/>
        <v>-1.4557488870540283</v>
      </c>
      <c r="Q87" s="3">
        <f t="shared" si="6"/>
        <v>1.6370054759630079</v>
      </c>
      <c r="R87" s="3">
        <f t="shared" si="6"/>
        <v>0</v>
      </c>
      <c r="S87" s="3">
        <f t="shared" si="6"/>
        <v>-129.44743708664009</v>
      </c>
      <c r="T87" s="3">
        <f t="shared" si="6"/>
        <v>15.045702746853991</v>
      </c>
      <c r="U87" s="3">
        <f t="shared" si="6"/>
        <v>0</v>
      </c>
      <c r="V87" s="3">
        <f t="shared" si="6"/>
        <v>89.105106437443965</v>
      </c>
      <c r="X87" s="2">
        <f t="shared" si="7"/>
        <v>0.19124035769197278</v>
      </c>
    </row>
    <row r="88" spans="1:24" x14ac:dyDescent="0.2">
      <c r="A88">
        <v>6004</v>
      </c>
      <c r="B88">
        <v>13</v>
      </c>
      <c r="C88" s="3">
        <f t="shared" si="6"/>
        <v>0</v>
      </c>
      <c r="D88" s="3">
        <f t="shared" si="6"/>
        <v>33.341601511496101</v>
      </c>
      <c r="E88" s="3">
        <f t="shared" si="6"/>
        <v>0</v>
      </c>
      <c r="F88" s="3">
        <f t="shared" si="6"/>
        <v>188.058331332412</v>
      </c>
      <c r="G88" s="3">
        <f t="shared" si="6"/>
        <v>0</v>
      </c>
      <c r="H88" s="3">
        <f t="shared" si="6"/>
        <v>0</v>
      </c>
      <c r="I88" s="3">
        <f t="shared" si="6"/>
        <v>8.7135641683457301</v>
      </c>
      <c r="J88" s="3">
        <f t="shared" si="6"/>
        <v>0</v>
      </c>
      <c r="K88" s="3">
        <f t="shared" si="6"/>
        <v>-23.973999051788951</v>
      </c>
      <c r="L88" s="3">
        <f t="shared" si="6"/>
        <v>0</v>
      </c>
      <c r="M88" s="3">
        <f t="shared" si="6"/>
        <v>-373.07610473509021</v>
      </c>
      <c r="N88" s="3">
        <f t="shared" si="6"/>
        <v>389.82842016259701</v>
      </c>
      <c r="O88" s="3">
        <f t="shared" si="6"/>
        <v>24.172838451666792</v>
      </c>
      <c r="P88" s="3">
        <f t="shared" si="6"/>
        <v>-2.4039619582810019</v>
      </c>
      <c r="Q88" s="3">
        <f t="shared" si="6"/>
        <v>1.6370054759630079</v>
      </c>
      <c r="R88" s="3">
        <f t="shared" si="6"/>
        <v>0</v>
      </c>
      <c r="S88" s="3">
        <f t="shared" si="6"/>
        <v>-211.60229741487001</v>
      </c>
      <c r="T88" s="3">
        <f t="shared" si="6"/>
        <v>21.390989119865012</v>
      </c>
      <c r="U88" s="3">
        <f t="shared" si="6"/>
        <v>0</v>
      </c>
      <c r="V88" s="3">
        <f t="shared" si="6"/>
        <v>128.73096980922799</v>
      </c>
      <c r="X88" s="2">
        <f t="shared" si="7"/>
        <v>0.18481735687154344</v>
      </c>
    </row>
    <row r="89" spans="1:24" x14ac:dyDescent="0.2">
      <c r="A89">
        <v>6004</v>
      </c>
      <c r="B89">
        <v>14</v>
      </c>
      <c r="C89" s="3">
        <f t="shared" si="6"/>
        <v>0</v>
      </c>
      <c r="D89" s="3">
        <f t="shared" si="6"/>
        <v>58.545556953197803</v>
      </c>
      <c r="E89" s="3">
        <f t="shared" si="6"/>
        <v>0</v>
      </c>
      <c r="F89" s="3">
        <f t="shared" si="6"/>
        <v>202.90830479303247</v>
      </c>
      <c r="G89" s="3">
        <f t="shared" si="6"/>
        <v>0</v>
      </c>
      <c r="H89" s="3">
        <f t="shared" si="6"/>
        <v>0</v>
      </c>
      <c r="I89" s="3">
        <f t="shared" si="6"/>
        <v>13.858513777627959</v>
      </c>
      <c r="J89" s="3">
        <f t="shared" si="6"/>
        <v>0</v>
      </c>
      <c r="K89" s="3">
        <f t="shared" si="6"/>
        <v>-34.077406642966025</v>
      </c>
      <c r="L89" s="3">
        <f t="shared" si="6"/>
        <v>0</v>
      </c>
      <c r="M89" s="3">
        <f t="shared" si="6"/>
        <v>-506.42449902783983</v>
      </c>
      <c r="N89" s="3">
        <f t="shared" si="6"/>
        <v>505.37237889075999</v>
      </c>
      <c r="O89" s="3">
        <f t="shared" si="6"/>
        <v>31.519765856444508</v>
      </c>
      <c r="P89" s="3">
        <f t="shared" si="6"/>
        <v>-3.2115622052290291</v>
      </c>
      <c r="Q89" s="3">
        <f t="shared" si="6"/>
        <v>1.6370054759630079</v>
      </c>
      <c r="R89" s="3">
        <f t="shared" si="6"/>
        <v>0</v>
      </c>
      <c r="S89" s="3">
        <f t="shared" si="6"/>
        <v>-300.77825230635972</v>
      </c>
      <c r="T89" s="3">
        <f t="shared" si="6"/>
        <v>27.527990053812019</v>
      </c>
      <c r="U89" s="3">
        <f t="shared" si="6"/>
        <v>0</v>
      </c>
      <c r="V89" s="3">
        <f t="shared" si="6"/>
        <v>168.02653340611403</v>
      </c>
      <c r="X89" s="2">
        <f t="shared" si="7"/>
        <v>0.16490432902455712</v>
      </c>
    </row>
    <row r="90" spans="1:24" x14ac:dyDescent="0.2">
      <c r="A90">
        <v>6004</v>
      </c>
      <c r="B90">
        <v>15</v>
      </c>
      <c r="C90" s="3">
        <f t="shared" si="6"/>
        <v>0</v>
      </c>
      <c r="D90" s="3">
        <f t="shared" si="6"/>
        <v>88.823250172233202</v>
      </c>
      <c r="E90" s="3">
        <f t="shared" si="6"/>
        <v>0</v>
      </c>
      <c r="F90" s="3">
        <f t="shared" si="6"/>
        <v>208.44329154692392</v>
      </c>
      <c r="G90" s="3">
        <f t="shared" si="6"/>
        <v>0</v>
      </c>
      <c r="H90" s="3">
        <f t="shared" si="6"/>
        <v>0</v>
      </c>
      <c r="I90" s="3">
        <f t="shared" si="6"/>
        <v>19.717496083602171</v>
      </c>
      <c r="J90" s="3">
        <f t="shared" si="6"/>
        <v>0</v>
      </c>
      <c r="K90" s="3">
        <f t="shared" si="6"/>
        <v>-44.51606377504595</v>
      </c>
      <c r="L90" s="3">
        <f t="shared" si="6"/>
        <v>0</v>
      </c>
      <c r="M90" s="3">
        <f t="shared" si="6"/>
        <v>-630.78465932964991</v>
      </c>
      <c r="N90" s="3">
        <f t="shared" si="6"/>
        <v>623.08303480577104</v>
      </c>
      <c r="O90" s="3">
        <f t="shared" si="6"/>
        <v>38.755834019658991</v>
      </c>
      <c r="P90" s="3">
        <f t="shared" si="6"/>
        <v>-4.0351064037320157</v>
      </c>
      <c r="Q90" s="3">
        <f t="shared" si="6"/>
        <v>1.6370054759630079</v>
      </c>
      <c r="R90" s="3">
        <f t="shared" si="6"/>
        <v>0</v>
      </c>
      <c r="S90" s="3">
        <f t="shared" si="6"/>
        <v>-392.91322846543017</v>
      </c>
      <c r="T90" s="3">
        <f t="shared" si="6"/>
        <v>50.073232293820993</v>
      </c>
      <c r="U90" s="3">
        <f t="shared" si="6"/>
        <v>0</v>
      </c>
      <c r="V90" s="3">
        <f t="shared" si="6"/>
        <v>164.18880208378704</v>
      </c>
      <c r="X90" s="2">
        <f t="shared" si="7"/>
        <v>0.12247288850790228</v>
      </c>
    </row>
    <row r="91" spans="1:24" x14ac:dyDescent="0.2">
      <c r="A91">
        <v>6004</v>
      </c>
      <c r="B91">
        <v>16</v>
      </c>
      <c r="C91" s="3">
        <f t="shared" si="6"/>
        <v>0</v>
      </c>
      <c r="D91" s="3">
        <f t="shared" si="6"/>
        <v>123.147981016872</v>
      </c>
      <c r="E91" s="3">
        <f t="shared" si="6"/>
        <v>0</v>
      </c>
      <c r="F91" s="3">
        <f t="shared" si="6"/>
        <v>205.61076033583001</v>
      </c>
      <c r="G91" s="3">
        <f t="shared" si="6"/>
        <v>0</v>
      </c>
      <c r="H91" s="3">
        <f t="shared" si="6"/>
        <v>0</v>
      </c>
      <c r="I91" s="3">
        <f t="shared" si="6"/>
        <v>26.323201053387542</v>
      </c>
      <c r="J91" s="3">
        <f t="shared" si="6"/>
        <v>0</v>
      </c>
      <c r="K91" s="3">
        <f t="shared" si="6"/>
        <v>-55.367362395361965</v>
      </c>
      <c r="L91" s="3">
        <f t="shared" si="6"/>
        <v>0</v>
      </c>
      <c r="M91" s="3">
        <f t="shared" si="6"/>
        <v>-773.05675283885012</v>
      </c>
      <c r="N91" s="3">
        <f t="shared" si="6"/>
        <v>753.71347540198599</v>
      </c>
      <c r="O91" s="3">
        <f t="shared" si="6"/>
        <v>45.847411777674608</v>
      </c>
      <c r="P91" s="3">
        <f t="shared" si="6"/>
        <v>-4.8897668135459753</v>
      </c>
      <c r="Q91" s="3">
        <f t="shared" si="6"/>
        <v>1.6370054759630079</v>
      </c>
      <c r="R91" s="3">
        <f t="shared" si="6"/>
        <v>0</v>
      </c>
      <c r="S91" s="3">
        <f t="shared" si="6"/>
        <v>-488.6903123400898</v>
      </c>
      <c r="T91" s="3">
        <f t="shared" si="6"/>
        <v>72.079135213484008</v>
      </c>
      <c r="U91" s="3">
        <f t="shared" si="6"/>
        <v>0</v>
      </c>
      <c r="V91" s="3">
        <f t="shared" si="6"/>
        <v>160.43872465564095</v>
      </c>
      <c r="X91" s="2">
        <f t="shared" si="7"/>
        <v>6.6793500542990283E-2</v>
      </c>
    </row>
    <row r="92" spans="1:24" x14ac:dyDescent="0.2">
      <c r="A92">
        <v>6004</v>
      </c>
      <c r="B92">
        <v>17</v>
      </c>
      <c r="C92" s="3">
        <f t="shared" si="6"/>
        <v>0</v>
      </c>
      <c r="D92" s="3">
        <f t="shared" si="6"/>
        <v>160.722875839773</v>
      </c>
      <c r="E92" s="3">
        <f t="shared" si="6"/>
        <v>0</v>
      </c>
      <c r="F92" s="3">
        <f t="shared" si="6"/>
        <v>195.576192713632</v>
      </c>
      <c r="G92" s="3">
        <f t="shared" si="6"/>
        <v>0</v>
      </c>
      <c r="H92" s="3">
        <f t="shared" si="6"/>
        <v>0</v>
      </c>
      <c r="I92" s="3">
        <f t="shared" si="6"/>
        <v>33.716954175098031</v>
      </c>
      <c r="J92" s="3">
        <f t="shared" si="6"/>
        <v>0</v>
      </c>
      <c r="K92" s="3">
        <f t="shared" si="6"/>
        <v>-66.679230358669997</v>
      </c>
      <c r="L92" s="3">
        <f t="shared" si="6"/>
        <v>0</v>
      </c>
      <c r="M92" s="3">
        <f t="shared" si="6"/>
        <v>-924.43633437798962</v>
      </c>
      <c r="N92" s="3">
        <f t="shared" si="6"/>
        <v>885.45001546321203</v>
      </c>
      <c r="O92" s="3">
        <f t="shared" si="6"/>
        <v>52.810329297986911</v>
      </c>
      <c r="P92" s="3">
        <f t="shared" si="6"/>
        <v>-5.7656218170429838</v>
      </c>
      <c r="Q92" s="3">
        <f t="shared" si="6"/>
        <v>1.6370054759630079</v>
      </c>
      <c r="R92" s="3">
        <f t="shared" si="6"/>
        <v>0</v>
      </c>
      <c r="S92" s="3">
        <f t="shared" si="6"/>
        <v>-588.53253073332007</v>
      </c>
      <c r="T92" s="3">
        <f t="shared" si="6"/>
        <v>92.529476893912019</v>
      </c>
      <c r="U92" s="3">
        <f t="shared" si="6"/>
        <v>0</v>
      </c>
      <c r="V92" s="3">
        <f t="shared" si="6"/>
        <v>156.774299095831</v>
      </c>
      <c r="X92" s="2">
        <f t="shared" si="7"/>
        <v>-6.1965683316146849E-3</v>
      </c>
    </row>
    <row r="93" spans="1:24" x14ac:dyDescent="0.2">
      <c r="A93">
        <v>6004</v>
      </c>
      <c r="B93">
        <v>18</v>
      </c>
      <c r="C93" s="3">
        <f t="shared" si="6"/>
        <v>0</v>
      </c>
      <c r="D93" s="3">
        <f t="shared" si="6"/>
        <v>200.9032775204</v>
      </c>
      <c r="E93" s="3">
        <f t="shared" si="6"/>
        <v>0</v>
      </c>
      <c r="F93" s="3">
        <f t="shared" si="6"/>
        <v>179.376270383025</v>
      </c>
      <c r="G93" s="3">
        <f t="shared" si="6"/>
        <v>0</v>
      </c>
      <c r="H93" s="3">
        <f t="shared" si="6"/>
        <v>0</v>
      </c>
      <c r="I93" s="3">
        <f t="shared" si="6"/>
        <v>41.928907435894409</v>
      </c>
      <c r="J93" s="3">
        <f t="shared" si="6"/>
        <v>0</v>
      </c>
      <c r="K93" s="3">
        <f t="shared" si="6"/>
        <v>-78.508765590972985</v>
      </c>
      <c r="L93" s="3">
        <f t="shared" si="6"/>
        <v>0</v>
      </c>
      <c r="M93" s="3">
        <f t="shared" si="6"/>
        <v>-1107.71726035753</v>
      </c>
      <c r="N93" s="3">
        <f t="shared" si="6"/>
        <v>1032.0938664028199</v>
      </c>
      <c r="O93" s="3">
        <f t="shared" si="6"/>
        <v>59.638304630684601</v>
      </c>
      <c r="P93" s="3">
        <f t="shared" si="6"/>
        <v>-6.664051269549077</v>
      </c>
      <c r="Q93" s="3">
        <f t="shared" si="6"/>
        <v>1.6370054759630079</v>
      </c>
      <c r="R93" s="3">
        <f t="shared" si="6"/>
        <v>0</v>
      </c>
      <c r="S93" s="3">
        <f t="shared" si="6"/>
        <v>-692.94384847381002</v>
      </c>
      <c r="T93" s="3">
        <f t="shared" si="6"/>
        <v>96.450449722138998</v>
      </c>
      <c r="U93" s="3">
        <f t="shared" si="6"/>
        <v>0</v>
      </c>
      <c r="V93" s="3">
        <f t="shared" si="6"/>
        <v>196.47368846049397</v>
      </c>
      <c r="X93" s="2">
        <f t="shared" si="7"/>
        <v>-7.7332155660442201E-2</v>
      </c>
    </row>
    <row r="94" spans="1:24" x14ac:dyDescent="0.2">
      <c r="A94">
        <v>6004</v>
      </c>
      <c r="B94">
        <v>19</v>
      </c>
      <c r="C94" s="3">
        <f t="shared" si="6"/>
        <v>0</v>
      </c>
      <c r="D94" s="3">
        <f t="shared" si="6"/>
        <v>243.151992095613</v>
      </c>
      <c r="E94" s="3">
        <f t="shared" si="6"/>
        <v>0</v>
      </c>
      <c r="F94" s="3">
        <f t="shared" si="6"/>
        <v>157.87994097708801</v>
      </c>
      <c r="G94" s="3">
        <f t="shared" si="6"/>
        <v>0</v>
      </c>
      <c r="H94" s="3">
        <f t="shared" si="6"/>
        <v>0</v>
      </c>
      <c r="I94" s="3">
        <f t="shared" si="6"/>
        <v>50.985307416980618</v>
      </c>
      <c r="J94" s="3">
        <f t="shared" si="6"/>
        <v>0</v>
      </c>
      <c r="K94" s="3">
        <f t="shared" si="6"/>
        <v>-90.877738851728054</v>
      </c>
      <c r="L94" s="3">
        <f t="shared" si="6"/>
        <v>0</v>
      </c>
      <c r="M94" s="3">
        <f t="shared" si="6"/>
        <v>-1287.3981212281606</v>
      </c>
      <c r="N94" s="3">
        <f t="shared" si="6"/>
        <v>1186.00115259824</v>
      </c>
      <c r="O94" s="3">
        <f t="shared" si="6"/>
        <v>66.331495378466187</v>
      </c>
      <c r="P94" s="3">
        <f t="shared" si="6"/>
        <v>-7.586231642005032</v>
      </c>
      <c r="Q94" s="3">
        <f t="shared" si="6"/>
        <v>1.6370054759630079</v>
      </c>
      <c r="R94" s="3">
        <f t="shared" si="6"/>
        <v>0</v>
      </c>
      <c r="S94" s="3">
        <f t="shared" si="6"/>
        <v>-802.1164213510001</v>
      </c>
      <c r="T94" s="3">
        <f t="shared" si="6"/>
        <v>116.397571724914</v>
      </c>
      <c r="U94" s="3">
        <f t="shared" si="6"/>
        <v>0</v>
      </c>
      <c r="V94" s="3">
        <f t="shared" si="6"/>
        <v>194.13488594346404</v>
      </c>
      <c r="X94" s="2">
        <f t="shared" si="7"/>
        <v>-0.17145916146216497</v>
      </c>
    </row>
    <row r="95" spans="1:24" x14ac:dyDescent="0.2">
      <c r="A95">
        <v>6004</v>
      </c>
      <c r="B95">
        <v>20</v>
      </c>
      <c r="C95" s="3">
        <f t="shared" si="6"/>
        <v>0</v>
      </c>
      <c r="D95" s="3">
        <f t="shared" si="6"/>
        <v>287.01867334069999</v>
      </c>
      <c r="E95" s="3">
        <f t="shared" si="6"/>
        <v>0</v>
      </c>
      <c r="F95" s="3">
        <f t="shared" si="6"/>
        <v>131.81865592468202</v>
      </c>
      <c r="G95" s="3">
        <f t="shared" si="6"/>
        <v>0</v>
      </c>
      <c r="H95" s="3">
        <f t="shared" si="6"/>
        <v>0</v>
      </c>
      <c r="I95" s="3">
        <f t="shared" si="6"/>
        <v>60.909941672352531</v>
      </c>
      <c r="J95" s="3">
        <f t="shared" si="6"/>
        <v>0</v>
      </c>
      <c r="K95" s="3">
        <f t="shared" si="6"/>
        <v>-103.832904533239</v>
      </c>
      <c r="L95" s="3">
        <f t="shared" si="6"/>
        <v>0</v>
      </c>
      <c r="M95" s="3">
        <f t="shared" si="6"/>
        <v>-1506.5634361194298</v>
      </c>
      <c r="N95" s="3">
        <f t="shared" si="6"/>
        <v>1359.13812669655</v>
      </c>
      <c r="O95" s="3">
        <f t="shared" si="6"/>
        <v>72.893211207133504</v>
      </c>
      <c r="P95" s="3">
        <f t="shared" si="6"/>
        <v>-8.5308056222399955</v>
      </c>
      <c r="Q95" s="3">
        <f t="shared" si="6"/>
        <v>1.6370054759630079</v>
      </c>
      <c r="R95" s="3">
        <f t="shared" si="6"/>
        <v>0</v>
      </c>
      <c r="S95" s="3">
        <f t="shared" si="6"/>
        <v>-916.46291880750005</v>
      </c>
      <c r="T95" s="3">
        <f t="shared" si="6"/>
        <v>112.960807286429</v>
      </c>
      <c r="U95" s="3">
        <f t="shared" si="6"/>
        <v>0</v>
      </c>
      <c r="V95" s="3">
        <f t="shared" si="6"/>
        <v>250.60184342480403</v>
      </c>
      <c r="X95" s="2">
        <f t="shared" si="7"/>
        <v>-0.25841180005379472</v>
      </c>
    </row>
    <row r="96" spans="1:24" x14ac:dyDescent="0.2">
      <c r="A96">
        <v>6004</v>
      </c>
      <c r="B96">
        <v>21</v>
      </c>
      <c r="C96" s="3">
        <f t="shared" si="6"/>
        <v>0</v>
      </c>
      <c r="D96" s="3">
        <f t="shared" si="6"/>
        <v>332.12517227739102</v>
      </c>
      <c r="E96" s="3">
        <f t="shared" si="6"/>
        <v>0</v>
      </c>
      <c r="F96" s="3">
        <f t="shared" si="6"/>
        <v>101.81274235289601</v>
      </c>
      <c r="G96" s="3">
        <f t="shared" si="6"/>
        <v>0</v>
      </c>
      <c r="H96" s="3">
        <f t="shared" si="6"/>
        <v>0</v>
      </c>
      <c r="I96" s="3">
        <f t="shared" si="6"/>
        <v>71.700133182376291</v>
      </c>
      <c r="J96" s="3">
        <f t="shared" si="6"/>
        <v>0</v>
      </c>
      <c r="K96" s="3">
        <f t="shared" si="6"/>
        <v>-117.39104257417398</v>
      </c>
      <c r="L96" s="3">
        <f t="shared" si="6"/>
        <v>0</v>
      </c>
      <c r="M96" s="3">
        <f t="shared" si="6"/>
        <v>-1709.6952567240701</v>
      </c>
      <c r="N96" s="3">
        <f t="shared" si="6"/>
        <v>1525.1272366291701</v>
      </c>
      <c r="O96" s="3">
        <f t="shared" si="6"/>
        <v>79.316032229576592</v>
      </c>
      <c r="P96" s="3">
        <f t="shared" si="6"/>
        <v>-9.500809130594007</v>
      </c>
      <c r="Q96" s="3">
        <f t="shared" si="6"/>
        <v>1.6370054759630079</v>
      </c>
      <c r="R96" s="3">
        <f t="shared" ref="R96:V96" si="8">+(R55-R15)</f>
        <v>0</v>
      </c>
      <c r="S96" s="3">
        <f t="shared" si="8"/>
        <v>-1036.1314460286799</v>
      </c>
      <c r="T96" s="3">
        <f t="shared" si="8"/>
        <v>109.91284775538999</v>
      </c>
      <c r="U96" s="3">
        <f t="shared" si="8"/>
        <v>0</v>
      </c>
      <c r="V96" s="3">
        <f t="shared" si="8"/>
        <v>305.02752804914002</v>
      </c>
      <c r="X96" s="2">
        <f t="shared" si="7"/>
        <v>-0.34605985650561505</v>
      </c>
    </row>
    <row r="97" spans="1:24" x14ac:dyDescent="0.2">
      <c r="A97">
        <v>6004</v>
      </c>
      <c r="B97">
        <v>22</v>
      </c>
      <c r="C97" s="3">
        <f t="shared" ref="C97:V109" si="9">+(C56-C16)</f>
        <v>0</v>
      </c>
      <c r="D97" s="3">
        <f t="shared" si="9"/>
        <v>378.14766044907799</v>
      </c>
      <c r="E97" s="3">
        <f t="shared" si="9"/>
        <v>0</v>
      </c>
      <c r="F97" s="3">
        <f t="shared" si="9"/>
        <v>68.384918708975988</v>
      </c>
      <c r="G97" s="3">
        <f t="shared" si="9"/>
        <v>0</v>
      </c>
      <c r="H97" s="3">
        <f t="shared" si="9"/>
        <v>0</v>
      </c>
      <c r="I97" s="3">
        <f t="shared" si="9"/>
        <v>83.394929099186612</v>
      </c>
      <c r="J97" s="3">
        <f t="shared" si="9"/>
        <v>0</v>
      </c>
      <c r="K97" s="3">
        <f t="shared" si="9"/>
        <v>-131.61653118242702</v>
      </c>
      <c r="L97" s="3">
        <f t="shared" si="9"/>
        <v>0</v>
      </c>
      <c r="M97" s="3">
        <f t="shared" si="9"/>
        <v>-1939.7784798785901</v>
      </c>
      <c r="N97" s="3">
        <f t="shared" si="9"/>
        <v>1706.6719674641099</v>
      </c>
      <c r="O97" s="3">
        <f t="shared" si="9"/>
        <v>85.613623557309111</v>
      </c>
      <c r="P97" s="3">
        <f t="shared" si="9"/>
        <v>-10.492544699474024</v>
      </c>
      <c r="Q97" s="3">
        <f t="shared" si="9"/>
        <v>1.6370054759630079</v>
      </c>
      <c r="R97" s="3">
        <f t="shared" si="9"/>
        <v>0</v>
      </c>
      <c r="S97" s="3">
        <f t="shared" si="9"/>
        <v>-1161.69022597411</v>
      </c>
      <c r="T97" s="3">
        <f t="shared" si="9"/>
        <v>107.402434838191</v>
      </c>
      <c r="U97" s="3">
        <f t="shared" si="9"/>
        <v>0</v>
      </c>
      <c r="V97" s="3">
        <f t="shared" si="9"/>
        <v>357.02749796275299</v>
      </c>
      <c r="X97" s="2">
        <f t="shared" si="7"/>
        <v>-0.45529774417903474</v>
      </c>
    </row>
    <row r="98" spans="1:24" x14ac:dyDescent="0.2">
      <c r="A98">
        <v>6004</v>
      </c>
      <c r="B98">
        <v>23</v>
      </c>
      <c r="C98" s="3">
        <f t="shared" si="9"/>
        <v>0</v>
      </c>
      <c r="D98" s="3">
        <f t="shared" si="9"/>
        <v>424.80980583533102</v>
      </c>
      <c r="E98" s="3">
        <f t="shared" si="9"/>
        <v>0</v>
      </c>
      <c r="F98" s="3">
        <f t="shared" si="9"/>
        <v>33.845535122630963</v>
      </c>
      <c r="G98" s="3">
        <f t="shared" si="9"/>
        <v>0</v>
      </c>
      <c r="H98" s="3">
        <f t="shared" si="9"/>
        <v>0</v>
      </c>
      <c r="I98" s="3">
        <f t="shared" si="9"/>
        <v>94.339259848074505</v>
      </c>
      <c r="J98" s="3">
        <f t="shared" si="9"/>
        <v>0</v>
      </c>
      <c r="K98" s="3">
        <f t="shared" si="9"/>
        <v>-146.54102767749396</v>
      </c>
      <c r="L98" s="3">
        <f t="shared" si="9"/>
        <v>0</v>
      </c>
      <c r="M98" s="3">
        <f t="shared" si="9"/>
        <v>-2189.4047413404201</v>
      </c>
      <c r="N98" s="3">
        <f t="shared" si="9"/>
        <v>1899.3368193886699</v>
      </c>
      <c r="O98" s="3">
        <f t="shared" si="9"/>
        <v>91.797816078032781</v>
      </c>
      <c r="P98" s="3">
        <f t="shared" si="9"/>
        <v>-11.506724233923933</v>
      </c>
      <c r="Q98" s="3">
        <f t="shared" si="9"/>
        <v>1.6370054759630079</v>
      </c>
      <c r="R98" s="3">
        <f t="shared" si="9"/>
        <v>0</v>
      </c>
      <c r="S98" s="3">
        <f t="shared" si="9"/>
        <v>-1295.3991438462899</v>
      </c>
      <c r="T98" s="3">
        <f t="shared" si="9"/>
        <v>104.94935982773501</v>
      </c>
      <c r="U98" s="3">
        <f t="shared" si="9"/>
        <v>0</v>
      </c>
      <c r="V98" s="3">
        <f t="shared" si="9"/>
        <v>407.141288487949</v>
      </c>
      <c r="X98" s="2">
        <f t="shared" si="7"/>
        <v>-0.58499474703374166</v>
      </c>
    </row>
    <row r="99" spans="1:24" x14ac:dyDescent="0.2">
      <c r="A99">
        <v>6004</v>
      </c>
      <c r="B99">
        <v>24</v>
      </c>
      <c r="C99" s="3">
        <f t="shared" si="9"/>
        <v>0</v>
      </c>
      <c r="D99" s="3">
        <f t="shared" si="9"/>
        <v>471.84972084318002</v>
      </c>
      <c r="E99" s="3">
        <f t="shared" si="9"/>
        <v>0</v>
      </c>
      <c r="F99" s="3">
        <f t="shared" si="9"/>
        <v>-0.52351722678304213</v>
      </c>
      <c r="G99" s="3">
        <f t="shared" si="9"/>
        <v>0</v>
      </c>
      <c r="H99" s="3">
        <f t="shared" si="9"/>
        <v>0</v>
      </c>
      <c r="I99" s="3">
        <f t="shared" si="9"/>
        <v>105.9175217324304</v>
      </c>
      <c r="J99" s="3">
        <f t="shared" si="9"/>
        <v>0</v>
      </c>
      <c r="K99" s="3">
        <f t="shared" si="9"/>
        <v>-162.20146671931894</v>
      </c>
      <c r="L99" s="3">
        <f t="shared" si="9"/>
        <v>0</v>
      </c>
      <c r="M99" s="3">
        <f t="shared" si="9"/>
        <v>-2415.2394459857601</v>
      </c>
      <c r="N99" s="3">
        <f t="shared" si="9"/>
        <v>2071.1367696196899</v>
      </c>
      <c r="O99" s="3">
        <f t="shared" si="9"/>
        <v>97.859782899551803</v>
      </c>
      <c r="P99" s="3">
        <f t="shared" si="9"/>
        <v>-12.545546693515917</v>
      </c>
      <c r="Q99" s="3">
        <f t="shared" si="9"/>
        <v>1.6370054759630079</v>
      </c>
      <c r="R99" s="3">
        <f t="shared" si="9"/>
        <v>0</v>
      </c>
      <c r="S99" s="3">
        <f t="shared" si="9"/>
        <v>-1436.0495595003799</v>
      </c>
      <c r="T99" s="3">
        <f t="shared" si="9"/>
        <v>102.552313146451</v>
      </c>
      <c r="U99" s="3">
        <f t="shared" si="9"/>
        <v>0</v>
      </c>
      <c r="V99" s="3">
        <f t="shared" si="9"/>
        <v>457.03568686455196</v>
      </c>
      <c r="X99" s="2">
        <f t="shared" si="7"/>
        <v>-0.71857073554393969</v>
      </c>
    </row>
    <row r="100" spans="1:24" x14ac:dyDescent="0.2">
      <c r="A100">
        <v>6004</v>
      </c>
      <c r="B100">
        <v>25</v>
      </c>
      <c r="C100" s="3">
        <f t="shared" si="9"/>
        <v>0</v>
      </c>
      <c r="D100" s="3">
        <f t="shared" si="9"/>
        <v>519.002945730222</v>
      </c>
      <c r="E100" s="3">
        <f t="shared" si="9"/>
        <v>0</v>
      </c>
      <c r="F100" s="3">
        <f t="shared" si="9"/>
        <v>-34.694074191456025</v>
      </c>
      <c r="G100" s="3">
        <f t="shared" si="9"/>
        <v>0</v>
      </c>
      <c r="H100" s="3">
        <f t="shared" si="9"/>
        <v>0</v>
      </c>
      <c r="I100" s="3">
        <f t="shared" si="9"/>
        <v>118.13024743035729</v>
      </c>
      <c r="J100" s="3">
        <f t="shared" si="9"/>
        <v>-0.95773608096440976</v>
      </c>
      <c r="K100" s="3">
        <f t="shared" si="9"/>
        <v>-214.63839570921701</v>
      </c>
      <c r="L100" s="3">
        <f t="shared" si="9"/>
        <v>0</v>
      </c>
      <c r="M100" s="3">
        <f t="shared" si="9"/>
        <v>-2737.9690073290299</v>
      </c>
      <c r="N100" s="3">
        <f t="shared" si="9"/>
        <v>2266.8844704029102</v>
      </c>
      <c r="O100" s="3">
        <f t="shared" si="9"/>
        <v>103.78819057376739</v>
      </c>
      <c r="P100" s="3">
        <f t="shared" si="9"/>
        <v>-68.336751773258925</v>
      </c>
      <c r="Q100" s="3">
        <f t="shared" si="9"/>
        <v>1.6370054759630079</v>
      </c>
      <c r="R100" s="3">
        <f t="shared" si="9"/>
        <v>0</v>
      </c>
      <c r="S100" s="3">
        <f t="shared" si="9"/>
        <v>-1604.5376832060801</v>
      </c>
      <c r="T100" s="3">
        <f t="shared" si="9"/>
        <v>100.21001507086199</v>
      </c>
      <c r="U100" s="3">
        <f t="shared" si="9"/>
        <v>0</v>
      </c>
      <c r="V100" s="3">
        <f t="shared" si="9"/>
        <v>616.28495955530911</v>
      </c>
      <c r="X100" s="2">
        <f t="shared" si="7"/>
        <v>-0.93519581405061558</v>
      </c>
    </row>
    <row r="101" spans="1:24" x14ac:dyDescent="0.2">
      <c r="A101">
        <v>6004</v>
      </c>
      <c r="B101">
        <v>26</v>
      </c>
      <c r="C101" s="3">
        <f t="shared" si="9"/>
        <v>0</v>
      </c>
      <c r="D101" s="3">
        <f t="shared" si="9"/>
        <v>574.35661902691595</v>
      </c>
      <c r="E101" s="3">
        <f t="shared" si="9"/>
        <v>0</v>
      </c>
      <c r="F101" s="3">
        <f t="shared" si="9"/>
        <v>-68.476964922277034</v>
      </c>
      <c r="G101" s="3">
        <f t="shared" si="9"/>
        <v>0</v>
      </c>
      <c r="H101" s="3">
        <f t="shared" si="9"/>
        <v>0</v>
      </c>
      <c r="I101" s="3">
        <f t="shared" si="9"/>
        <v>130.90150499904971</v>
      </c>
      <c r="J101" s="3">
        <f t="shared" si="9"/>
        <v>0</v>
      </c>
      <c r="K101" s="3">
        <f t="shared" si="9"/>
        <v>-234.45651522630399</v>
      </c>
      <c r="L101" s="3">
        <f t="shared" si="9"/>
        <v>0</v>
      </c>
      <c r="M101" s="3">
        <f t="shared" si="9"/>
        <v>-3013.8957558652796</v>
      </c>
      <c r="N101" s="3">
        <f t="shared" si="9"/>
        <v>2481.49452695946</v>
      </c>
      <c r="O101" s="3">
        <f t="shared" si="9"/>
        <v>109.51933054221621</v>
      </c>
      <c r="P101" s="3">
        <f t="shared" si="9"/>
        <v>-85.280436082574965</v>
      </c>
      <c r="Q101" s="3">
        <f t="shared" si="9"/>
        <v>1.6370054759630079</v>
      </c>
      <c r="R101" s="3">
        <f t="shared" si="9"/>
        <v>0</v>
      </c>
      <c r="S101" s="3">
        <f t="shared" si="9"/>
        <v>-1788.1490332522501</v>
      </c>
      <c r="T101" s="3">
        <f t="shared" si="9"/>
        <v>95.549918731215001</v>
      </c>
      <c r="U101" s="3">
        <f t="shared" si="9"/>
        <v>0</v>
      </c>
      <c r="V101" s="3">
        <f t="shared" si="9"/>
        <v>602.20899163634499</v>
      </c>
      <c r="X101" s="2">
        <f t="shared" si="7"/>
        <v>-1.1945908079775209</v>
      </c>
    </row>
    <row r="102" spans="1:24" x14ac:dyDescent="0.2">
      <c r="A102">
        <v>6004</v>
      </c>
      <c r="B102">
        <v>27</v>
      </c>
      <c r="C102" s="3">
        <f t="shared" si="9"/>
        <v>0</v>
      </c>
      <c r="D102" s="3">
        <f t="shared" si="9"/>
        <v>649.44604013126104</v>
      </c>
      <c r="E102" s="3">
        <f t="shared" si="9"/>
        <v>0</v>
      </c>
      <c r="F102" s="3">
        <f t="shared" si="9"/>
        <v>-101.80252508317903</v>
      </c>
      <c r="G102" s="3">
        <f t="shared" si="9"/>
        <v>0</v>
      </c>
      <c r="H102" s="3">
        <f t="shared" si="9"/>
        <v>0</v>
      </c>
      <c r="I102" s="3">
        <f t="shared" si="9"/>
        <v>144.25555851854921</v>
      </c>
      <c r="J102" s="3">
        <f t="shared" si="9"/>
        <v>-0.79857877697606017</v>
      </c>
      <c r="K102" s="3">
        <f t="shared" si="9"/>
        <v>-255.02229355114798</v>
      </c>
      <c r="L102" s="3">
        <f t="shared" si="9"/>
        <v>0</v>
      </c>
      <c r="M102" s="3">
        <f t="shared" si="9"/>
        <v>-3308.27917641248</v>
      </c>
      <c r="N102" s="3">
        <f t="shared" si="9"/>
        <v>2675.7163578150798</v>
      </c>
      <c r="O102" s="3">
        <f t="shared" si="9"/>
        <v>115.04237970309811</v>
      </c>
      <c r="P102" s="3">
        <f t="shared" si="9"/>
        <v>-105.49199755117104</v>
      </c>
      <c r="Q102" s="3">
        <f t="shared" si="9"/>
        <v>1.6370054759630079</v>
      </c>
      <c r="R102" s="3">
        <f t="shared" si="9"/>
        <v>0</v>
      </c>
      <c r="S102" s="3">
        <f t="shared" si="9"/>
        <v>-1945.7115671186698</v>
      </c>
      <c r="T102" s="3">
        <f t="shared" si="9"/>
        <v>92.591655839784011</v>
      </c>
      <c r="U102" s="3">
        <f t="shared" si="9"/>
        <v>0</v>
      </c>
      <c r="V102" s="3">
        <f t="shared" si="9"/>
        <v>614.51214383860406</v>
      </c>
      <c r="X102" s="2">
        <f t="shared" si="7"/>
        <v>-1.4239049971712847</v>
      </c>
    </row>
    <row r="103" spans="1:24" x14ac:dyDescent="0.2">
      <c r="A103">
        <v>6004</v>
      </c>
      <c r="B103">
        <v>28</v>
      </c>
      <c r="C103" s="3">
        <f t="shared" si="9"/>
        <v>0</v>
      </c>
      <c r="D103" s="3">
        <f t="shared" si="9"/>
        <v>657.68011848943797</v>
      </c>
      <c r="E103" s="3">
        <f t="shared" si="9"/>
        <v>0</v>
      </c>
      <c r="F103" s="3">
        <f t="shared" si="9"/>
        <v>-134.56110983000502</v>
      </c>
      <c r="G103" s="3">
        <f t="shared" si="9"/>
        <v>0</v>
      </c>
      <c r="H103" s="3">
        <f t="shared" si="9"/>
        <v>0</v>
      </c>
      <c r="I103" s="3">
        <f t="shared" si="9"/>
        <v>158.1727518741086</v>
      </c>
      <c r="J103" s="3">
        <f t="shared" si="9"/>
        <v>-0.79857877697604995</v>
      </c>
      <c r="K103" s="3">
        <f t="shared" si="9"/>
        <v>-276.27349040888998</v>
      </c>
      <c r="L103" s="3">
        <f t="shared" si="9"/>
        <v>0</v>
      </c>
      <c r="M103" s="3">
        <f t="shared" si="9"/>
        <v>-3610.8192440469402</v>
      </c>
      <c r="N103" s="3">
        <f t="shared" si="9"/>
        <v>2887.9191311140498</v>
      </c>
      <c r="O103" s="3">
        <f t="shared" si="9"/>
        <v>120.32753032479761</v>
      </c>
      <c r="P103" s="3">
        <f t="shared" si="9"/>
        <v>-113.05513482084996</v>
      </c>
      <c r="Q103" s="3">
        <f t="shared" si="9"/>
        <v>1.6370054759630079</v>
      </c>
      <c r="R103" s="3">
        <f t="shared" si="9"/>
        <v>0</v>
      </c>
      <c r="S103" s="3">
        <f t="shared" si="9"/>
        <v>-2108.6707711056897</v>
      </c>
      <c r="T103" s="3">
        <f t="shared" si="9"/>
        <v>96.425178753330997</v>
      </c>
      <c r="U103" s="3">
        <f t="shared" si="9"/>
        <v>0</v>
      </c>
      <c r="V103" s="3">
        <f t="shared" si="9"/>
        <v>591.06738654295395</v>
      </c>
      <c r="X103" s="2">
        <f t="shared" si="7"/>
        <v>-1.7309492264147093</v>
      </c>
    </row>
    <row r="104" spans="1:24" x14ac:dyDescent="0.2">
      <c r="A104">
        <v>6004</v>
      </c>
      <c r="B104">
        <v>29</v>
      </c>
      <c r="C104" s="3">
        <f t="shared" si="9"/>
        <v>0</v>
      </c>
      <c r="D104" s="3">
        <f t="shared" si="9"/>
        <v>702.17374702944505</v>
      </c>
      <c r="E104" s="3">
        <f t="shared" si="9"/>
        <v>0</v>
      </c>
      <c r="F104" s="3">
        <f t="shared" si="9"/>
        <v>-166.71266482090601</v>
      </c>
      <c r="G104" s="3">
        <f t="shared" si="9"/>
        <v>0</v>
      </c>
      <c r="H104" s="3">
        <f t="shared" si="9"/>
        <v>0</v>
      </c>
      <c r="I104" s="3">
        <f t="shared" si="9"/>
        <v>172.6481781221332</v>
      </c>
      <c r="J104" s="3">
        <f t="shared" si="9"/>
        <v>-0.79857877697605406</v>
      </c>
      <c r="K104" s="3">
        <f t="shared" si="9"/>
        <v>-341.54699857699501</v>
      </c>
      <c r="L104" s="3">
        <f t="shared" si="9"/>
        <v>0</v>
      </c>
      <c r="M104" s="3">
        <f t="shared" si="9"/>
        <v>-3926.9714782494802</v>
      </c>
      <c r="N104" s="3">
        <f t="shared" si="9"/>
        <v>3104.9295678385502</v>
      </c>
      <c r="O104" s="3">
        <f t="shared" si="9"/>
        <v>125.37354679409408</v>
      </c>
      <c r="P104" s="3">
        <f t="shared" si="9"/>
        <v>-120.85456638823598</v>
      </c>
      <c r="Q104" s="3">
        <f t="shared" si="9"/>
        <v>1.6370054759630079</v>
      </c>
      <c r="R104" s="3">
        <f t="shared" si="9"/>
        <v>0</v>
      </c>
      <c r="S104" s="3">
        <f t="shared" si="9"/>
        <v>-2279.4421074939901</v>
      </c>
      <c r="T104" s="3">
        <f t="shared" si="9"/>
        <v>99.609317976446007</v>
      </c>
      <c r="U104" s="3">
        <f t="shared" si="9"/>
        <v>0</v>
      </c>
      <c r="V104" s="3">
        <f t="shared" si="9"/>
        <v>604.29461039151988</v>
      </c>
      <c r="X104" s="2">
        <f t="shared" si="7"/>
        <v>-2.0256604206784319</v>
      </c>
    </row>
    <row r="105" spans="1:24" x14ac:dyDescent="0.2">
      <c r="A105">
        <v>6004</v>
      </c>
      <c r="B105">
        <v>30</v>
      </c>
      <c r="C105" s="3">
        <f t="shared" si="9"/>
        <v>0</v>
      </c>
      <c r="D105" s="3">
        <f t="shared" si="9"/>
        <v>820.81070906101104</v>
      </c>
      <c r="E105" s="3">
        <f t="shared" si="9"/>
        <v>0</v>
      </c>
      <c r="F105" s="3">
        <f t="shared" si="9"/>
        <v>-198.21996547736506</v>
      </c>
      <c r="G105" s="3">
        <f t="shared" si="9"/>
        <v>0</v>
      </c>
      <c r="H105" s="3">
        <f t="shared" si="9"/>
        <v>0</v>
      </c>
      <c r="I105" s="3">
        <f t="shared" si="9"/>
        <v>187.678456608407</v>
      </c>
      <c r="J105" s="3">
        <f t="shared" si="9"/>
        <v>0</v>
      </c>
      <c r="K105" s="3">
        <f t="shared" si="9"/>
        <v>-364.15661822469002</v>
      </c>
      <c r="L105" s="3">
        <f t="shared" si="9"/>
        <v>0</v>
      </c>
      <c r="M105" s="3">
        <f t="shared" si="9"/>
        <v>-4285.3466807881396</v>
      </c>
      <c r="N105" s="3">
        <f t="shared" si="9"/>
        <v>3326.79077256046</v>
      </c>
      <c r="O105" s="3">
        <f t="shared" si="9"/>
        <v>130.19059270437367</v>
      </c>
      <c r="P105" s="3">
        <f t="shared" si="9"/>
        <v>-132.10642723038893</v>
      </c>
      <c r="Q105" s="3">
        <f t="shared" si="9"/>
        <v>1.3867648602169993</v>
      </c>
      <c r="R105" s="3">
        <f t="shared" si="9"/>
        <v>0</v>
      </c>
      <c r="S105" s="3">
        <f t="shared" si="9"/>
        <v>-2460.7649537866846</v>
      </c>
      <c r="T105" s="3">
        <f t="shared" si="9"/>
        <v>102.75120439098801</v>
      </c>
      <c r="U105" s="3">
        <f t="shared" si="9"/>
        <v>0</v>
      </c>
      <c r="V105" s="3">
        <f t="shared" si="9"/>
        <v>672.32544296841206</v>
      </c>
      <c r="X105" s="2">
        <f t="shared" si="7"/>
        <v>-2.1986607023533993</v>
      </c>
    </row>
    <row r="106" spans="1:24" x14ac:dyDescent="0.2">
      <c r="A106">
        <v>6004</v>
      </c>
      <c r="B106">
        <v>31</v>
      </c>
      <c r="C106" s="3">
        <f t="shared" si="9"/>
        <v>0</v>
      </c>
      <c r="D106" s="3">
        <f t="shared" si="9"/>
        <v>854.13577949093599</v>
      </c>
      <c r="E106" s="3">
        <f t="shared" si="9"/>
        <v>0</v>
      </c>
      <c r="F106" s="3">
        <f t="shared" si="9"/>
        <v>-228.99818997639301</v>
      </c>
      <c r="G106" s="3">
        <f t="shared" si="9"/>
        <v>0</v>
      </c>
      <c r="H106" s="3">
        <f t="shared" si="9"/>
        <v>0</v>
      </c>
      <c r="I106" s="3">
        <f t="shared" si="9"/>
        <v>203.1865954097473</v>
      </c>
      <c r="J106" s="3">
        <f t="shared" si="9"/>
        <v>0</v>
      </c>
      <c r="K106" s="3">
        <f t="shared" si="9"/>
        <v>-387.45967925389806</v>
      </c>
      <c r="L106" s="3">
        <f t="shared" si="9"/>
        <v>0</v>
      </c>
      <c r="M106" s="3">
        <f t="shared" si="9"/>
        <v>-4628.6336170121303</v>
      </c>
      <c r="N106" s="3">
        <f t="shared" si="9"/>
        <v>3552.3492034687702</v>
      </c>
      <c r="O106" s="3">
        <f t="shared" si="9"/>
        <v>134.7294279258017</v>
      </c>
      <c r="P106" s="3">
        <f t="shared" si="9"/>
        <v>-139.54917833933405</v>
      </c>
      <c r="Q106" s="3">
        <f t="shared" si="9"/>
        <v>1.3867648602169993</v>
      </c>
      <c r="R106" s="3">
        <f t="shared" si="9"/>
        <v>0</v>
      </c>
      <c r="S106" s="3">
        <f t="shared" si="9"/>
        <v>-2646.293255142004</v>
      </c>
      <c r="T106" s="3">
        <f t="shared" si="9"/>
        <v>105.60915396755701</v>
      </c>
      <c r="U106" s="3">
        <f t="shared" si="9"/>
        <v>0</v>
      </c>
      <c r="V106" s="3">
        <f t="shared" si="9"/>
        <v>639.84171358582898</v>
      </c>
      <c r="X106" s="2">
        <f t="shared" si="7"/>
        <v>-2.5396952810149016</v>
      </c>
    </row>
    <row r="107" spans="1:24" x14ac:dyDescent="0.2">
      <c r="A107">
        <v>6004</v>
      </c>
      <c r="B107">
        <v>32</v>
      </c>
      <c r="C107" s="3">
        <f t="shared" si="9"/>
        <v>0</v>
      </c>
      <c r="D107" s="3">
        <f t="shared" si="9"/>
        <v>854.13577949093599</v>
      </c>
      <c r="E107" s="3">
        <f t="shared" si="9"/>
        <v>0</v>
      </c>
      <c r="F107" s="3">
        <f t="shared" si="9"/>
        <v>-258.98903915581405</v>
      </c>
      <c r="G107" s="3">
        <f t="shared" si="9"/>
        <v>0</v>
      </c>
      <c r="H107" s="3">
        <f t="shared" si="9"/>
        <v>0</v>
      </c>
      <c r="I107" s="3">
        <f t="shared" si="9"/>
        <v>219.216050631618</v>
      </c>
      <c r="J107" s="3">
        <f t="shared" si="9"/>
        <v>0</v>
      </c>
      <c r="K107" s="3">
        <f t="shared" si="9"/>
        <v>-411.41922544065898</v>
      </c>
      <c r="L107" s="3">
        <f t="shared" si="9"/>
        <v>0</v>
      </c>
      <c r="M107" s="3">
        <f t="shared" si="9"/>
        <v>-4985.42755268774</v>
      </c>
      <c r="N107" s="3">
        <f t="shared" si="9"/>
        <v>3781.2122297772298</v>
      </c>
      <c r="O107" s="3">
        <f t="shared" si="9"/>
        <v>138.98162061927172</v>
      </c>
      <c r="P107" s="3">
        <f t="shared" si="9"/>
        <v>-146.78063838370502</v>
      </c>
      <c r="Q107" s="3">
        <f t="shared" si="9"/>
        <v>1.3867648602169993</v>
      </c>
      <c r="R107" s="3">
        <f t="shared" si="9"/>
        <v>0</v>
      </c>
      <c r="S107" s="3">
        <f t="shared" si="9"/>
        <v>-2843.0429614891636</v>
      </c>
      <c r="T107" s="3">
        <f t="shared" si="9"/>
        <v>108.17793711857901</v>
      </c>
      <c r="U107" s="3">
        <f t="shared" si="9"/>
        <v>0</v>
      </c>
      <c r="V107" s="3">
        <f t="shared" si="9"/>
        <v>645.84374665734595</v>
      </c>
      <c r="X107" s="2">
        <f t="shared" si="7"/>
        <v>-2.896705288001884</v>
      </c>
    </row>
    <row r="108" spans="1:24" x14ac:dyDescent="0.2">
      <c r="A108">
        <v>6004</v>
      </c>
      <c r="B108">
        <v>33</v>
      </c>
      <c r="C108" s="3">
        <f t="shared" si="9"/>
        <v>0</v>
      </c>
      <c r="D108" s="3">
        <f t="shared" si="9"/>
        <v>908.580768602136</v>
      </c>
      <c r="E108" s="3">
        <f t="shared" si="9"/>
        <v>0</v>
      </c>
      <c r="F108" s="3">
        <f t="shared" si="9"/>
        <v>-288.18778028836601</v>
      </c>
      <c r="G108" s="3">
        <f t="shared" si="9"/>
        <v>0</v>
      </c>
      <c r="H108" s="3">
        <f t="shared" si="9"/>
        <v>0</v>
      </c>
      <c r="I108" s="3">
        <f t="shared" si="9"/>
        <v>235.77382971125272</v>
      </c>
      <c r="J108" s="3">
        <f t="shared" si="9"/>
        <v>0</v>
      </c>
      <c r="K108" s="3">
        <f t="shared" si="9"/>
        <v>-436.02604202122302</v>
      </c>
      <c r="L108" s="3">
        <f t="shared" si="9"/>
        <v>0</v>
      </c>
      <c r="M108" s="3">
        <f t="shared" si="9"/>
        <v>-5377.3810461797293</v>
      </c>
      <c r="N108" s="3">
        <f t="shared" si="9"/>
        <v>4013.2630677130501</v>
      </c>
      <c r="O108" s="3">
        <f t="shared" si="9"/>
        <v>142.95014763703648</v>
      </c>
      <c r="P108" s="3">
        <f t="shared" si="9"/>
        <v>-153.66602815232596</v>
      </c>
      <c r="Q108" s="3">
        <f t="shared" si="9"/>
        <v>1.3867648602169993</v>
      </c>
      <c r="R108" s="3">
        <f t="shared" si="9"/>
        <v>0</v>
      </c>
      <c r="S108" s="3">
        <f t="shared" si="9"/>
        <v>-3031.3112192723702</v>
      </c>
      <c r="T108" s="3">
        <f t="shared" si="9"/>
        <v>110.46139163301301</v>
      </c>
      <c r="U108" s="3">
        <f t="shared" si="9"/>
        <v>0</v>
      </c>
      <c r="V108" s="3">
        <f t="shared" si="9"/>
        <v>678.81099210160994</v>
      </c>
      <c r="X108" s="2">
        <f t="shared" si="7"/>
        <v>-3.1953451536556989</v>
      </c>
    </row>
    <row r="109" spans="1:24" x14ac:dyDescent="0.2">
      <c r="A109">
        <v>6004</v>
      </c>
      <c r="B109">
        <v>34</v>
      </c>
      <c r="C109" s="3">
        <f t="shared" si="9"/>
        <v>0</v>
      </c>
      <c r="D109" s="3">
        <f t="shared" si="9"/>
        <v>908.580768602136</v>
      </c>
      <c r="E109" s="3">
        <f t="shared" si="9"/>
        <v>0</v>
      </c>
      <c r="F109" s="3">
        <f t="shared" si="9"/>
        <v>-316.60904526421501</v>
      </c>
      <c r="G109" s="3">
        <f t="shared" si="9"/>
        <v>0</v>
      </c>
      <c r="H109" s="3">
        <f t="shared" si="9"/>
        <v>0</v>
      </c>
      <c r="I109" s="3">
        <f t="shared" si="9"/>
        <v>252.87557032072638</v>
      </c>
      <c r="J109" s="3">
        <f t="shared" si="9"/>
        <v>0</v>
      </c>
      <c r="K109" s="3">
        <f t="shared" si="9"/>
        <v>-461.17779425630533</v>
      </c>
      <c r="L109" s="3">
        <f t="shared" si="9"/>
        <v>0</v>
      </c>
      <c r="M109" s="3">
        <f t="shared" si="9"/>
        <v>-5762.902342891035</v>
      </c>
      <c r="N109" s="3">
        <f t="shared" si="9"/>
        <v>4248.5544529930803</v>
      </c>
      <c r="O109" s="3">
        <f t="shared" si="9"/>
        <v>146.64379133746462</v>
      </c>
      <c r="P109" s="3">
        <f t="shared" si="9"/>
        <v>-160.49332218817301</v>
      </c>
      <c r="Q109" s="3">
        <f t="shared" si="9"/>
        <v>1.3867648602169993</v>
      </c>
      <c r="R109" s="3">
        <f t="shared" ref="R109:V109" si="10">+(R68-R28)</f>
        <v>0</v>
      </c>
      <c r="S109" s="3">
        <f t="shared" si="10"/>
        <v>-3236.7803802492281</v>
      </c>
      <c r="T109" s="3">
        <f t="shared" si="10"/>
        <v>112.467591142039</v>
      </c>
      <c r="U109" s="3">
        <f t="shared" si="10"/>
        <v>0</v>
      </c>
      <c r="V109" s="3">
        <f t="shared" si="10"/>
        <v>680.95919291793189</v>
      </c>
      <c r="X109" s="2">
        <f t="shared" si="7"/>
        <v>-3.5864947526753617</v>
      </c>
    </row>
    <row r="110" spans="1:24" x14ac:dyDescent="0.2">
      <c r="A110">
        <v>6004</v>
      </c>
      <c r="B110">
        <v>35</v>
      </c>
      <c r="C110" s="3">
        <f t="shared" ref="C110:V120" si="11">+(C69-C29)</f>
        <v>0</v>
      </c>
      <c r="D110" s="3">
        <f t="shared" si="11"/>
        <v>978.623363610718</v>
      </c>
      <c r="E110" s="3">
        <f t="shared" si="11"/>
        <v>0</v>
      </c>
      <c r="F110" s="3">
        <f t="shared" si="11"/>
        <v>-344.24345107634298</v>
      </c>
      <c r="G110" s="3">
        <f t="shared" si="11"/>
        <v>0</v>
      </c>
      <c r="H110" s="3">
        <f t="shared" si="11"/>
        <v>0</v>
      </c>
      <c r="I110" s="3">
        <f t="shared" si="11"/>
        <v>270.53368875493379</v>
      </c>
      <c r="J110" s="3">
        <f t="shared" si="11"/>
        <v>0</v>
      </c>
      <c r="K110" s="3">
        <f t="shared" si="11"/>
        <v>-487.02263360946125</v>
      </c>
      <c r="L110" s="3">
        <f t="shared" si="11"/>
        <v>0</v>
      </c>
      <c r="M110" s="3">
        <f t="shared" si="11"/>
        <v>-6191.4487267785062</v>
      </c>
      <c r="N110" s="3">
        <f t="shared" si="11"/>
        <v>4487.5247730650599</v>
      </c>
      <c r="O110" s="3">
        <f t="shared" si="11"/>
        <v>150.06515856805439</v>
      </c>
      <c r="P110" s="3">
        <f t="shared" si="11"/>
        <v>-167.21288750820196</v>
      </c>
      <c r="Q110" s="3">
        <f t="shared" si="11"/>
        <v>1.3867648602169993</v>
      </c>
      <c r="R110" s="3">
        <f t="shared" si="11"/>
        <v>0</v>
      </c>
      <c r="S110" s="3">
        <f t="shared" si="11"/>
        <v>-3435.716289829184</v>
      </c>
      <c r="T110" s="3">
        <f t="shared" si="11"/>
        <v>114.24732728401601</v>
      </c>
      <c r="U110" s="3">
        <f t="shared" si="11"/>
        <v>0</v>
      </c>
      <c r="V110" s="3">
        <f t="shared" si="11"/>
        <v>719.07536302221001</v>
      </c>
      <c r="X110" s="2">
        <f t="shared" si="7"/>
        <v>-3.9041875496364873</v>
      </c>
    </row>
    <row r="111" spans="1:24" x14ac:dyDescent="0.2">
      <c r="A111">
        <v>6004</v>
      </c>
      <c r="B111">
        <v>36</v>
      </c>
      <c r="C111" s="3">
        <f t="shared" si="11"/>
        <v>0</v>
      </c>
      <c r="D111" s="3">
        <f t="shared" si="11"/>
        <v>978.623363610718</v>
      </c>
      <c r="E111" s="3">
        <f t="shared" si="11"/>
        <v>0</v>
      </c>
      <c r="F111" s="3">
        <f t="shared" si="11"/>
        <v>-384.349624674155</v>
      </c>
      <c r="G111" s="3">
        <f t="shared" si="11"/>
        <v>0</v>
      </c>
      <c r="H111" s="3">
        <f t="shared" si="11"/>
        <v>0</v>
      </c>
      <c r="I111" s="3">
        <f t="shared" si="11"/>
        <v>288.12041185778548</v>
      </c>
      <c r="J111" s="3">
        <f t="shared" si="11"/>
        <v>0</v>
      </c>
      <c r="K111" s="3">
        <f t="shared" si="11"/>
        <v>-514.5624942378372</v>
      </c>
      <c r="L111" s="3">
        <f t="shared" si="11"/>
        <v>0</v>
      </c>
      <c r="M111" s="3">
        <f t="shared" si="11"/>
        <v>-6617.4749578933797</v>
      </c>
      <c r="N111" s="3">
        <f t="shared" si="11"/>
        <v>4735.9850468630902</v>
      </c>
      <c r="O111" s="3">
        <f t="shared" si="11"/>
        <v>156.56530750275789</v>
      </c>
      <c r="P111" s="3">
        <f t="shared" si="11"/>
        <v>-177.92799891889393</v>
      </c>
      <c r="Q111" s="3">
        <f t="shared" si="11"/>
        <v>1.3867648602169993</v>
      </c>
      <c r="R111" s="3">
        <f t="shared" si="11"/>
        <v>0</v>
      </c>
      <c r="S111" s="3">
        <f t="shared" si="11"/>
        <v>-3645.0345245522767</v>
      </c>
      <c r="T111" s="3">
        <f t="shared" si="11"/>
        <v>118.95903124753401</v>
      </c>
      <c r="U111" s="3">
        <f t="shared" si="11"/>
        <v>0</v>
      </c>
      <c r="V111" s="3">
        <f t="shared" si="11"/>
        <v>758.46881271628206</v>
      </c>
      <c r="X111" s="2">
        <f t="shared" si="7"/>
        <v>-4.301240861618159</v>
      </c>
    </row>
    <row r="112" spans="1:24" x14ac:dyDescent="0.2">
      <c r="A112">
        <v>6004</v>
      </c>
      <c r="B112">
        <v>37</v>
      </c>
      <c r="C112" s="3">
        <f t="shared" si="11"/>
        <v>0</v>
      </c>
      <c r="D112" s="3">
        <f t="shared" si="11"/>
        <v>1016.39985077228</v>
      </c>
      <c r="E112" s="3">
        <f t="shared" si="11"/>
        <v>0</v>
      </c>
      <c r="F112" s="3">
        <f t="shared" si="11"/>
        <v>-424.92693067742397</v>
      </c>
      <c r="G112" s="3">
        <f t="shared" si="11"/>
        <v>0</v>
      </c>
      <c r="H112" s="3">
        <f t="shared" si="11"/>
        <v>0</v>
      </c>
      <c r="I112" s="3">
        <f t="shared" si="11"/>
        <v>306.17813821037191</v>
      </c>
      <c r="J112" s="3">
        <f t="shared" si="11"/>
        <v>0</v>
      </c>
      <c r="K112" s="3">
        <f t="shared" si="11"/>
        <v>-542.50153326335885</v>
      </c>
      <c r="L112" s="3">
        <f t="shared" si="11"/>
        <v>0</v>
      </c>
      <c r="M112" s="3">
        <f t="shared" si="11"/>
        <v>-7055.1087914180043</v>
      </c>
      <c r="N112" s="3">
        <f t="shared" si="11"/>
        <v>4985.6053491193597</v>
      </c>
      <c r="O112" s="3">
        <f t="shared" si="11"/>
        <v>162.88968608012749</v>
      </c>
      <c r="P112" s="3">
        <f t="shared" si="11"/>
        <v>-188.76803534152003</v>
      </c>
      <c r="Q112" s="3">
        <f t="shared" si="11"/>
        <v>1.3867648602169993</v>
      </c>
      <c r="R112" s="3">
        <f t="shared" si="11"/>
        <v>0</v>
      </c>
      <c r="S112" s="3">
        <f t="shared" si="11"/>
        <v>-3865.3734066816946</v>
      </c>
      <c r="T112" s="3">
        <f t="shared" si="11"/>
        <v>123.40222475926899</v>
      </c>
      <c r="U112" s="3">
        <f t="shared" si="11"/>
        <v>0</v>
      </c>
      <c r="V112" s="3">
        <f t="shared" si="11"/>
        <v>857.33322463414697</v>
      </c>
      <c r="X112" s="2">
        <f t="shared" si="7"/>
        <v>-4.6234834589462297</v>
      </c>
    </row>
    <row r="113" spans="1:24" x14ac:dyDescent="0.2">
      <c r="A113">
        <v>6004</v>
      </c>
      <c r="B113">
        <v>38</v>
      </c>
      <c r="C113" s="3">
        <f t="shared" si="11"/>
        <v>0</v>
      </c>
      <c r="D113" s="3">
        <f t="shared" si="11"/>
        <v>1072.7399262720901</v>
      </c>
      <c r="E113" s="3">
        <f t="shared" si="11"/>
        <v>0</v>
      </c>
      <c r="F113" s="3">
        <f t="shared" si="11"/>
        <v>-465.85484013548097</v>
      </c>
      <c r="G113" s="3">
        <f t="shared" si="11"/>
        <v>0</v>
      </c>
      <c r="H113" s="3">
        <f t="shared" si="11"/>
        <v>0</v>
      </c>
      <c r="I113" s="3">
        <f t="shared" si="11"/>
        <v>324.67401261139281</v>
      </c>
      <c r="J113" s="3">
        <f t="shared" si="11"/>
        <v>0</v>
      </c>
      <c r="K113" s="3">
        <f t="shared" si="11"/>
        <v>-571.7145137679945</v>
      </c>
      <c r="L113" s="3">
        <f t="shared" si="11"/>
        <v>0</v>
      </c>
      <c r="M113" s="3">
        <f t="shared" si="11"/>
        <v>-7506.2398778003153</v>
      </c>
      <c r="N113" s="3">
        <f t="shared" si="11"/>
        <v>5324.1627910303596</v>
      </c>
      <c r="O113" s="3">
        <f t="shared" si="11"/>
        <v>169.03618574442629</v>
      </c>
      <c r="P113" s="3">
        <f t="shared" si="11"/>
        <v>-199.388440694194</v>
      </c>
      <c r="Q113" s="3">
        <f t="shared" si="11"/>
        <v>1.3867648602169993</v>
      </c>
      <c r="R113" s="3">
        <f t="shared" si="11"/>
        <v>0</v>
      </c>
      <c r="S113" s="3">
        <f t="shared" si="11"/>
        <v>-4079.9338267013759</v>
      </c>
      <c r="T113" s="3">
        <f t="shared" si="11"/>
        <v>128.91239052846799</v>
      </c>
      <c r="U113" s="3">
        <f t="shared" si="11"/>
        <v>0</v>
      </c>
      <c r="V113" s="3">
        <f t="shared" si="11"/>
        <v>1027.7291122721251</v>
      </c>
      <c r="X113" s="2">
        <f t="shared" si="7"/>
        <v>-4.774490315780282</v>
      </c>
    </row>
    <row r="114" spans="1:24" x14ac:dyDescent="0.2">
      <c r="A114">
        <v>6004</v>
      </c>
      <c r="B114">
        <v>39</v>
      </c>
      <c r="C114" s="3">
        <f t="shared" si="11"/>
        <v>0</v>
      </c>
      <c r="D114" s="3">
        <f t="shared" si="11"/>
        <v>1107.0832139302499</v>
      </c>
      <c r="E114" s="3">
        <f t="shared" si="11"/>
        <v>0</v>
      </c>
      <c r="F114" s="3">
        <f t="shared" si="11"/>
        <v>-507.10869195910499</v>
      </c>
      <c r="G114" s="3">
        <f t="shared" si="11"/>
        <v>0</v>
      </c>
      <c r="H114" s="3">
        <f t="shared" si="11"/>
        <v>0</v>
      </c>
      <c r="I114" s="3">
        <f t="shared" si="11"/>
        <v>343.60585168184787</v>
      </c>
      <c r="J114" s="3">
        <f t="shared" si="11"/>
        <v>0</v>
      </c>
      <c r="K114" s="3">
        <f t="shared" si="11"/>
        <v>-595.16777593453253</v>
      </c>
      <c r="L114" s="3">
        <f t="shared" si="11"/>
        <v>0</v>
      </c>
      <c r="M114" s="3">
        <f t="shared" si="11"/>
        <v>-7752.8793822873458</v>
      </c>
      <c r="N114" s="3">
        <f t="shared" si="11"/>
        <v>5531.1193588456299</v>
      </c>
      <c r="O114" s="3">
        <f t="shared" si="11"/>
        <v>174.81715952351939</v>
      </c>
      <c r="P114" s="3">
        <f t="shared" si="11"/>
        <v>-199.388440694194</v>
      </c>
      <c r="Q114" s="3">
        <f t="shared" si="11"/>
        <v>1.3867648602169993</v>
      </c>
      <c r="R114" s="3">
        <f t="shared" si="11"/>
        <v>0</v>
      </c>
      <c r="S114" s="3">
        <f t="shared" si="11"/>
        <v>-4180.2936553161762</v>
      </c>
      <c r="T114" s="3">
        <f t="shared" si="11"/>
        <v>135.942187569471</v>
      </c>
      <c r="U114" s="3">
        <f t="shared" si="11"/>
        <v>0</v>
      </c>
      <c r="V114" s="3">
        <f t="shared" si="11"/>
        <v>1006.436854479801</v>
      </c>
      <c r="X114" s="2">
        <f t="shared" si="7"/>
        <v>-4.9344465553006174</v>
      </c>
    </row>
    <row r="115" spans="1:24" x14ac:dyDescent="0.2">
      <c r="A115">
        <v>6004</v>
      </c>
      <c r="B115">
        <v>40</v>
      </c>
      <c r="C115" s="3">
        <f t="shared" si="11"/>
        <v>0</v>
      </c>
      <c r="D115" s="3">
        <f t="shared" si="11"/>
        <v>1138.3290349701599</v>
      </c>
      <c r="E115" s="3">
        <f t="shared" si="11"/>
        <v>0</v>
      </c>
      <c r="F115" s="3">
        <f t="shared" si="11"/>
        <v>-548.56074539108204</v>
      </c>
      <c r="G115" s="3">
        <f t="shared" si="11"/>
        <v>0</v>
      </c>
      <c r="H115" s="3">
        <f t="shared" si="11"/>
        <v>0</v>
      </c>
      <c r="I115" s="3">
        <f t="shared" si="11"/>
        <v>362.93549697979461</v>
      </c>
      <c r="J115" s="3">
        <f t="shared" si="11"/>
        <v>0</v>
      </c>
      <c r="K115" s="3">
        <f t="shared" si="11"/>
        <v>-612.70070572174154</v>
      </c>
      <c r="L115" s="3">
        <f t="shared" si="11"/>
        <v>0</v>
      </c>
      <c r="M115" s="3">
        <f t="shared" si="11"/>
        <v>-8001.7815848143355</v>
      </c>
      <c r="N115" s="3">
        <f t="shared" si="11"/>
        <v>5805.7540389737496</v>
      </c>
      <c r="O115" s="3">
        <f t="shared" si="11"/>
        <v>180.27296001545542</v>
      </c>
      <c r="P115" s="3">
        <f t="shared" si="11"/>
        <v>-199.388440694194</v>
      </c>
      <c r="Q115" s="3">
        <f t="shared" si="11"/>
        <v>1.3867648602169993</v>
      </c>
      <c r="R115" s="3">
        <f t="shared" si="11"/>
        <v>0</v>
      </c>
      <c r="S115" s="3">
        <f t="shared" si="11"/>
        <v>-4287.6657078078724</v>
      </c>
      <c r="T115" s="3">
        <f t="shared" si="11"/>
        <v>140.42944873524198</v>
      </c>
      <c r="U115" s="3">
        <f t="shared" si="11"/>
        <v>0</v>
      </c>
      <c r="V115" s="3">
        <f t="shared" si="11"/>
        <v>863.32139930733615</v>
      </c>
      <c r="X115" s="2">
        <f t="shared" si="7"/>
        <v>-5.1576680405872706</v>
      </c>
    </row>
    <row r="116" spans="1:24" x14ac:dyDescent="0.2">
      <c r="A116">
        <v>6004</v>
      </c>
      <c r="B116">
        <v>41</v>
      </c>
      <c r="C116" s="3">
        <f t="shared" si="11"/>
        <v>0</v>
      </c>
      <c r="D116" s="3">
        <f t="shared" si="11"/>
        <v>1166.61510001397</v>
      </c>
      <c r="E116" s="3">
        <f t="shared" si="11"/>
        <v>0</v>
      </c>
      <c r="F116" s="3">
        <f t="shared" si="11"/>
        <v>-590.18944487486397</v>
      </c>
      <c r="G116" s="3">
        <f t="shared" si="11"/>
        <v>0</v>
      </c>
      <c r="H116" s="3">
        <f t="shared" si="11"/>
        <v>0</v>
      </c>
      <c r="I116" s="3">
        <f t="shared" si="11"/>
        <v>384.12781453390289</v>
      </c>
      <c r="J116" s="3">
        <f t="shared" si="11"/>
        <v>0</v>
      </c>
      <c r="K116" s="3">
        <f t="shared" si="11"/>
        <v>-627.9025935662446</v>
      </c>
      <c r="L116" s="3">
        <f t="shared" si="11"/>
        <v>0</v>
      </c>
      <c r="M116" s="3">
        <f t="shared" si="11"/>
        <v>-8252.9163091069458</v>
      </c>
      <c r="N116" s="3">
        <f t="shared" si="11"/>
        <v>6019.5044847907902</v>
      </c>
      <c r="O116" s="3">
        <f t="shared" si="11"/>
        <v>201.66592227220968</v>
      </c>
      <c r="P116" s="3">
        <f t="shared" si="11"/>
        <v>-199.388440694194</v>
      </c>
      <c r="Q116" s="3">
        <f t="shared" si="11"/>
        <v>1.3867648602169993</v>
      </c>
      <c r="R116" s="3">
        <f t="shared" si="11"/>
        <v>0</v>
      </c>
      <c r="S116" s="3">
        <f t="shared" si="11"/>
        <v>-4387.415657177793</v>
      </c>
      <c r="T116" s="3">
        <f t="shared" si="11"/>
        <v>137.70003315930802</v>
      </c>
      <c r="U116" s="3">
        <f t="shared" si="11"/>
        <v>0</v>
      </c>
      <c r="V116" s="3">
        <f t="shared" si="11"/>
        <v>797.88834210746495</v>
      </c>
      <c r="X116" s="2">
        <f t="shared" si="7"/>
        <v>-5.3489239836821785</v>
      </c>
    </row>
    <row r="117" spans="1:24" x14ac:dyDescent="0.2">
      <c r="A117">
        <v>6004</v>
      </c>
      <c r="B117">
        <v>42</v>
      </c>
      <c r="C117" s="3">
        <f t="shared" si="11"/>
        <v>0</v>
      </c>
      <c r="D117" s="3">
        <f t="shared" si="11"/>
        <v>1191.65588126377</v>
      </c>
      <c r="E117" s="3">
        <f t="shared" si="11"/>
        <v>0</v>
      </c>
      <c r="F117" s="3">
        <f t="shared" si="11"/>
        <v>-632.03468075244791</v>
      </c>
      <c r="G117" s="3">
        <f t="shared" si="11"/>
        <v>0</v>
      </c>
      <c r="H117" s="3">
        <f t="shared" si="11"/>
        <v>0</v>
      </c>
      <c r="I117" s="3">
        <f t="shared" si="11"/>
        <v>404.3474455649087</v>
      </c>
      <c r="J117" s="3">
        <f t="shared" si="11"/>
        <v>0</v>
      </c>
      <c r="K117" s="3">
        <f t="shared" si="11"/>
        <v>-640.56422547615239</v>
      </c>
      <c r="L117" s="3">
        <f t="shared" si="11"/>
        <v>0</v>
      </c>
      <c r="M117" s="3">
        <f t="shared" si="11"/>
        <v>-8507.1554704842165</v>
      </c>
      <c r="N117" s="3">
        <f t="shared" si="11"/>
        <v>6231.3935960995104</v>
      </c>
      <c r="O117" s="3">
        <f t="shared" si="11"/>
        <v>214.93456098645561</v>
      </c>
      <c r="P117" s="3">
        <f t="shared" si="11"/>
        <v>-199.388440694194</v>
      </c>
      <c r="Q117" s="3">
        <f t="shared" si="11"/>
        <v>1.3867648602169993</v>
      </c>
      <c r="R117" s="3">
        <f t="shared" si="11"/>
        <v>0</v>
      </c>
      <c r="S117" s="3">
        <f t="shared" si="11"/>
        <v>-4487.8789154037322</v>
      </c>
      <c r="T117" s="3">
        <f t="shared" si="11"/>
        <v>140.20078465200197</v>
      </c>
      <c r="U117" s="3">
        <f t="shared" si="11"/>
        <v>0</v>
      </c>
      <c r="V117" s="3">
        <f t="shared" si="11"/>
        <v>731.1260016388519</v>
      </c>
      <c r="X117" s="2">
        <f t="shared" si="7"/>
        <v>-5.5519766977450278</v>
      </c>
    </row>
    <row r="118" spans="1:24" x14ac:dyDescent="0.2">
      <c r="A118">
        <v>6004</v>
      </c>
      <c r="B118">
        <v>43</v>
      </c>
      <c r="C118" s="3">
        <f t="shared" si="11"/>
        <v>0</v>
      </c>
      <c r="D118" s="3">
        <f t="shared" si="11"/>
        <v>1212.79458804003</v>
      </c>
      <c r="E118" s="3">
        <f t="shared" si="11"/>
        <v>0</v>
      </c>
      <c r="F118" s="3">
        <f t="shared" si="11"/>
        <v>-674.07765205274814</v>
      </c>
      <c r="G118" s="3">
        <f t="shared" si="11"/>
        <v>0</v>
      </c>
      <c r="H118" s="3">
        <f t="shared" si="11"/>
        <v>0</v>
      </c>
      <c r="I118" s="3">
        <f t="shared" si="11"/>
        <v>426.01702778061042</v>
      </c>
      <c r="J118" s="3">
        <f t="shared" si="11"/>
        <v>0</v>
      </c>
      <c r="K118" s="3">
        <f t="shared" si="11"/>
        <v>-658.48826381587946</v>
      </c>
      <c r="L118" s="3">
        <f t="shared" si="11"/>
        <v>0</v>
      </c>
      <c r="M118" s="3">
        <f t="shared" si="11"/>
        <v>-8764.3072936182161</v>
      </c>
      <c r="N118" s="3">
        <f t="shared" si="11"/>
        <v>6433.1087869234398</v>
      </c>
      <c r="O118" s="3">
        <f t="shared" si="11"/>
        <v>243.01480191607331</v>
      </c>
      <c r="P118" s="3">
        <f t="shared" si="11"/>
        <v>-199.388440694194</v>
      </c>
      <c r="Q118" s="3">
        <f t="shared" si="11"/>
        <v>1.3867648602169993</v>
      </c>
      <c r="R118" s="3">
        <f t="shared" si="11"/>
        <v>0</v>
      </c>
      <c r="S118" s="3">
        <f t="shared" si="11"/>
        <v>-4589.8318151248923</v>
      </c>
      <c r="T118" s="3">
        <f t="shared" si="11"/>
        <v>147.17172624740903</v>
      </c>
      <c r="U118" s="3">
        <f t="shared" si="11"/>
        <v>0</v>
      </c>
      <c r="V118" s="3">
        <f t="shared" si="11"/>
        <v>666.42417902521697</v>
      </c>
      <c r="X118" s="2">
        <f t="shared" si="7"/>
        <v>-5.7561755905129326</v>
      </c>
    </row>
    <row r="119" spans="1:24" x14ac:dyDescent="0.2">
      <c r="A119">
        <v>6004</v>
      </c>
      <c r="B119">
        <v>44</v>
      </c>
      <c r="C119" s="3">
        <f t="shared" si="11"/>
        <v>0</v>
      </c>
      <c r="D119" s="3">
        <f t="shared" si="11"/>
        <v>1229.59809107413</v>
      </c>
      <c r="E119" s="3">
        <f t="shared" si="11"/>
        <v>0</v>
      </c>
      <c r="F119" s="3">
        <f t="shared" si="11"/>
        <v>-716.36328118131814</v>
      </c>
      <c r="G119" s="3">
        <f t="shared" si="11"/>
        <v>0</v>
      </c>
      <c r="H119" s="3">
        <f t="shared" si="11"/>
        <v>0</v>
      </c>
      <c r="I119" s="3">
        <f t="shared" si="11"/>
        <v>445.14341015755031</v>
      </c>
      <c r="J119" s="3">
        <f t="shared" si="11"/>
        <v>0</v>
      </c>
      <c r="K119" s="3">
        <f t="shared" si="11"/>
        <v>-669.69199203296944</v>
      </c>
      <c r="L119" s="3">
        <f t="shared" si="11"/>
        <v>0</v>
      </c>
      <c r="M119" s="3">
        <f t="shared" si="11"/>
        <v>-9025.6475739170764</v>
      </c>
      <c r="N119" s="3">
        <f t="shared" si="11"/>
        <v>6633.8381578489598</v>
      </c>
      <c r="O119" s="3">
        <f t="shared" si="11"/>
        <v>236.86989148856077</v>
      </c>
      <c r="P119" s="3">
        <f t="shared" si="11"/>
        <v>-199.388440694194</v>
      </c>
      <c r="Q119" s="3">
        <f t="shared" si="11"/>
        <v>1.3867648602169993</v>
      </c>
      <c r="R119" s="3">
        <f t="shared" si="11"/>
        <v>0</v>
      </c>
      <c r="S119" s="3">
        <f t="shared" si="11"/>
        <v>-4692.3872139073828</v>
      </c>
      <c r="T119" s="3">
        <f t="shared" si="11"/>
        <v>137.16605145288699</v>
      </c>
      <c r="U119" s="3">
        <f t="shared" si="11"/>
        <v>0</v>
      </c>
      <c r="V119" s="3">
        <f t="shared" si="11"/>
        <v>597.63880171427002</v>
      </c>
      <c r="X119" s="2">
        <f t="shared" si="7"/>
        <v>-6.0218373331363662</v>
      </c>
    </row>
    <row r="120" spans="1:24" x14ac:dyDescent="0.2">
      <c r="A120">
        <v>6004</v>
      </c>
      <c r="B120">
        <v>45</v>
      </c>
      <c r="C120" s="3">
        <f t="shared" si="11"/>
        <v>0</v>
      </c>
      <c r="D120" s="3">
        <f t="shared" si="11"/>
        <v>1229.59809107413</v>
      </c>
      <c r="E120" s="3">
        <f t="shared" si="11"/>
        <v>0</v>
      </c>
      <c r="F120" s="3">
        <f t="shared" si="11"/>
        <v>-758.94351514771802</v>
      </c>
      <c r="G120" s="3">
        <f t="shared" si="11"/>
        <v>0</v>
      </c>
      <c r="H120" s="3">
        <f t="shared" si="11"/>
        <v>0</v>
      </c>
      <c r="I120" s="3">
        <f t="shared" si="11"/>
        <v>465.86259636976314</v>
      </c>
      <c r="J120" s="3">
        <f t="shared" si="11"/>
        <v>0</v>
      </c>
      <c r="K120" s="3">
        <f t="shared" si="11"/>
        <v>-681.01132817108055</v>
      </c>
      <c r="L120" s="3">
        <f t="shared" si="11"/>
        <v>0</v>
      </c>
      <c r="M120" s="3">
        <f t="shared" si="11"/>
        <v>-9291.855591319596</v>
      </c>
      <c r="N120" s="3">
        <f t="shared" si="11"/>
        <v>9562.4342610789008</v>
      </c>
      <c r="O120" s="3">
        <f t="shared" si="11"/>
        <v>318.76577790774661</v>
      </c>
      <c r="P120" s="3">
        <f t="shared" si="11"/>
        <v>-199.388440694194</v>
      </c>
      <c r="Q120" s="3">
        <f t="shared" si="11"/>
        <v>1.3867648602169993</v>
      </c>
      <c r="R120" s="3">
        <f t="shared" si="11"/>
        <v>0</v>
      </c>
      <c r="S120" s="3">
        <f t="shared" si="11"/>
        <v>-4796.0008511809929</v>
      </c>
      <c r="T120" s="3">
        <f t="shared" si="11"/>
        <v>243.45449881548598</v>
      </c>
      <c r="U120" s="3">
        <f t="shared" si="11"/>
        <v>0</v>
      </c>
      <c r="V120" s="3">
        <f t="shared" si="11"/>
        <v>408.588240388288</v>
      </c>
      <c r="X120" s="2">
        <f t="shared" si="7"/>
        <v>-3.4971094960190503</v>
      </c>
    </row>
    <row r="121" spans="1:24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X121" s="1"/>
    </row>
    <row r="122" spans="1:24" x14ac:dyDescent="0.2">
      <c r="C122" s="3">
        <f t="shared" ref="C122:L122" si="12">+SUM(C83:C120)</f>
        <v>0</v>
      </c>
      <c r="D122" s="3">
        <f t="shared" si="12"/>
        <v>22597.407827060943</v>
      </c>
      <c r="E122" s="3">
        <f t="shared" si="12"/>
        <v>0</v>
      </c>
      <c r="F122" s="3">
        <f t="shared" si="12"/>
        <v>-5780.3028265811126</v>
      </c>
      <c r="G122" s="3">
        <f t="shared" si="12"/>
        <v>0</v>
      </c>
      <c r="H122" s="3">
        <f t="shared" si="12"/>
        <v>0</v>
      </c>
      <c r="I122" s="3">
        <f t="shared" si="12"/>
        <v>6463.4810603825999</v>
      </c>
      <c r="J122" s="3">
        <f t="shared" si="12"/>
        <v>-94.231122571459352</v>
      </c>
      <c r="K122" s="3">
        <f t="shared" si="12"/>
        <v>-11050.662162255245</v>
      </c>
      <c r="L122" s="3">
        <f t="shared" si="12"/>
        <v>0</v>
      </c>
      <c r="M122" s="3">
        <f>+SUM(M83:M120)</f>
        <v>-144160.0208826148</v>
      </c>
      <c r="N122" s="3">
        <f t="shared" ref="N122:V122" si="13">+SUM(N83:N120)</f>
        <v>112397.33218775713</v>
      </c>
      <c r="O122" s="3">
        <f t="shared" si="13"/>
        <v>4233.554598611222</v>
      </c>
      <c r="P122" s="3">
        <f t="shared" si="13"/>
        <v>-3442.718370578355</v>
      </c>
      <c r="Q122" s="3">
        <f t="shared" si="13"/>
        <v>55.582949791947144</v>
      </c>
      <c r="R122" s="3">
        <f t="shared" si="13"/>
        <v>0</v>
      </c>
      <c r="S122" s="3">
        <f t="shared" si="13"/>
        <v>-79829.275387776477</v>
      </c>
      <c r="T122" s="3">
        <f t="shared" si="13"/>
        <v>3632.1087613935679</v>
      </c>
      <c r="U122" s="3">
        <f t="shared" si="13"/>
        <v>0</v>
      </c>
      <c r="V122" s="3">
        <f t="shared" si="13"/>
        <v>17904.786426964307</v>
      </c>
      <c r="W122" s="3"/>
      <c r="X122" s="7">
        <f>+SUM(X83:X120)</f>
        <v>-77.07295694041575</v>
      </c>
    </row>
    <row r="126" spans="1:24" x14ac:dyDescent="0.2">
      <c r="A126">
        <v>6005</v>
      </c>
      <c r="B126">
        <v>8</v>
      </c>
      <c r="C126">
        <v>0</v>
      </c>
      <c r="D126">
        <v>0</v>
      </c>
      <c r="E126">
        <v>0</v>
      </c>
      <c r="F126">
        <v>20.939844196821198</v>
      </c>
      <c r="G126">
        <v>0</v>
      </c>
      <c r="H126">
        <v>0</v>
      </c>
      <c r="I126">
        <v>0.85170101042173296</v>
      </c>
      <c r="J126">
        <v>19.177500187377401</v>
      </c>
      <c r="K126">
        <v>816.29370210267405</v>
      </c>
      <c r="L126">
        <v>0</v>
      </c>
      <c r="M126">
        <v>3131.8938480792999</v>
      </c>
      <c r="N126">
        <v>0</v>
      </c>
      <c r="O126">
        <v>204.863488178951</v>
      </c>
      <c r="P126">
        <v>925.87697592269103</v>
      </c>
      <c r="Q126">
        <v>224.08866198649201</v>
      </c>
      <c r="R126">
        <v>0</v>
      </c>
      <c r="S126">
        <v>1780.2055368925</v>
      </c>
      <c r="T126">
        <v>111.45373811118399</v>
      </c>
      <c r="U126">
        <v>1E-3</v>
      </c>
      <c r="V126">
        <v>287.673332931765</v>
      </c>
    </row>
    <row r="127" spans="1:24" x14ac:dyDescent="0.2">
      <c r="A127">
        <v>6005</v>
      </c>
      <c r="B127">
        <v>9</v>
      </c>
      <c r="C127">
        <v>0</v>
      </c>
      <c r="D127">
        <v>0</v>
      </c>
      <c r="E127">
        <v>0</v>
      </c>
      <c r="F127">
        <v>41.787528071059</v>
      </c>
      <c r="G127">
        <v>0</v>
      </c>
      <c r="H127">
        <v>0</v>
      </c>
      <c r="I127">
        <v>0.868527249393655</v>
      </c>
      <c r="J127">
        <v>17.803062031316099</v>
      </c>
      <c r="K127">
        <v>633.54845850644404</v>
      </c>
      <c r="L127">
        <v>0</v>
      </c>
      <c r="M127">
        <v>2990.40933701213</v>
      </c>
      <c r="N127">
        <v>0</v>
      </c>
      <c r="O127">
        <v>202.085326049515</v>
      </c>
      <c r="P127">
        <v>911.04341800443103</v>
      </c>
      <c r="Q127">
        <v>222.792027760444</v>
      </c>
      <c r="R127">
        <v>0</v>
      </c>
      <c r="S127">
        <v>2549.6387934734298</v>
      </c>
      <c r="T127">
        <v>121.069619764165</v>
      </c>
      <c r="U127">
        <v>1E-3</v>
      </c>
      <c r="V127">
        <v>355.52792084412602</v>
      </c>
    </row>
    <row r="128" spans="1:24" x14ac:dyDescent="0.2">
      <c r="A128">
        <v>6005</v>
      </c>
      <c r="B128">
        <v>10</v>
      </c>
      <c r="C128">
        <v>0</v>
      </c>
      <c r="D128">
        <v>0</v>
      </c>
      <c r="E128">
        <v>0</v>
      </c>
      <c r="F128">
        <v>62.398220500348899</v>
      </c>
      <c r="G128">
        <v>0</v>
      </c>
      <c r="H128">
        <v>0</v>
      </c>
      <c r="I128">
        <v>0.88477941097730495</v>
      </c>
      <c r="J128">
        <v>16.912008990252001</v>
      </c>
      <c r="K128">
        <v>636.77288334489003</v>
      </c>
      <c r="L128">
        <v>0</v>
      </c>
      <c r="M128">
        <v>3438.1030522236601</v>
      </c>
      <c r="N128">
        <v>0</v>
      </c>
      <c r="O128">
        <v>197.73093742853999</v>
      </c>
      <c r="P128">
        <v>891.50785732439294</v>
      </c>
      <c r="Q128">
        <v>122.320266228051</v>
      </c>
      <c r="R128">
        <v>0</v>
      </c>
      <c r="S128">
        <v>2578.0986137221498</v>
      </c>
      <c r="T128">
        <v>120.19193745192</v>
      </c>
      <c r="U128">
        <v>1E-3</v>
      </c>
      <c r="V128">
        <v>351.67091804722901</v>
      </c>
    </row>
    <row r="129" spans="1:22" x14ac:dyDescent="0.2">
      <c r="A129">
        <v>6005</v>
      </c>
      <c r="B129">
        <v>11</v>
      </c>
      <c r="C129">
        <v>0</v>
      </c>
      <c r="D129">
        <v>6.2294340552750702</v>
      </c>
      <c r="E129">
        <v>0</v>
      </c>
      <c r="F129">
        <v>111.638015569535</v>
      </c>
      <c r="G129">
        <v>0</v>
      </c>
      <c r="H129">
        <v>0</v>
      </c>
      <c r="I129">
        <v>4.0016657669473101</v>
      </c>
      <c r="J129">
        <v>15.2003129588802</v>
      </c>
      <c r="K129">
        <v>628.85374853598</v>
      </c>
      <c r="L129">
        <v>0</v>
      </c>
      <c r="M129">
        <v>3596.0647748522301</v>
      </c>
      <c r="N129">
        <v>0</v>
      </c>
      <c r="O129">
        <v>73.4537040090094</v>
      </c>
      <c r="P129">
        <v>866.22892145798005</v>
      </c>
      <c r="Q129">
        <v>116.442838869612</v>
      </c>
      <c r="R129">
        <v>0</v>
      </c>
      <c r="S129">
        <v>2508.2017594057902</v>
      </c>
      <c r="T129">
        <v>139.02025847281101</v>
      </c>
      <c r="U129">
        <v>1E-3</v>
      </c>
      <c r="V129">
        <v>494.66799286846202</v>
      </c>
    </row>
    <row r="130" spans="1:22" x14ac:dyDescent="0.2">
      <c r="A130">
        <v>6005</v>
      </c>
      <c r="B130">
        <v>12</v>
      </c>
      <c r="C130">
        <v>0</v>
      </c>
      <c r="D130">
        <v>17.559824588325199</v>
      </c>
      <c r="E130">
        <v>0</v>
      </c>
      <c r="F130">
        <v>152.95531417725201</v>
      </c>
      <c r="G130">
        <v>0</v>
      </c>
      <c r="H130">
        <v>0</v>
      </c>
      <c r="I130">
        <v>7.4888427766961803</v>
      </c>
      <c r="J130">
        <v>190.8731700486</v>
      </c>
      <c r="K130">
        <v>621.16242609931498</v>
      </c>
      <c r="L130">
        <v>0</v>
      </c>
      <c r="M130">
        <v>3842.0988948761001</v>
      </c>
      <c r="N130">
        <v>0</v>
      </c>
      <c r="O130">
        <v>65.863658311167598</v>
      </c>
      <c r="P130">
        <v>847.15082945560505</v>
      </c>
      <c r="Q130">
        <v>116.442838869612</v>
      </c>
      <c r="R130">
        <v>0</v>
      </c>
      <c r="S130">
        <v>2440.31565103309</v>
      </c>
      <c r="T130">
        <v>157.81387873868499</v>
      </c>
      <c r="U130">
        <v>1E-3</v>
      </c>
      <c r="V130">
        <v>499.47692089511401</v>
      </c>
    </row>
    <row r="131" spans="1:22" x14ac:dyDescent="0.2">
      <c r="A131">
        <v>6005</v>
      </c>
      <c r="B131">
        <v>13</v>
      </c>
      <c r="C131">
        <v>0</v>
      </c>
      <c r="D131">
        <v>33.194948462436599</v>
      </c>
      <c r="E131">
        <v>0</v>
      </c>
      <c r="F131">
        <v>187.231156678486</v>
      </c>
      <c r="G131">
        <v>0</v>
      </c>
      <c r="H131">
        <v>0</v>
      </c>
      <c r="I131">
        <v>11.8380465395201</v>
      </c>
      <c r="J131">
        <v>12.3744733265018</v>
      </c>
      <c r="K131">
        <v>613.46192483186599</v>
      </c>
      <c r="L131">
        <v>0</v>
      </c>
      <c r="M131">
        <v>3826.6421339951798</v>
      </c>
      <c r="N131">
        <v>0</v>
      </c>
      <c r="O131">
        <v>62.477534546210499</v>
      </c>
      <c r="P131">
        <v>828.508481715568</v>
      </c>
      <c r="Q131">
        <v>116.442838869612</v>
      </c>
      <c r="R131">
        <v>0</v>
      </c>
      <c r="S131">
        <v>2333.0478828335799</v>
      </c>
      <c r="T131">
        <v>176.07919605653399</v>
      </c>
      <c r="U131">
        <v>1E-3</v>
      </c>
      <c r="V131">
        <v>582.80721504109601</v>
      </c>
    </row>
    <row r="132" spans="1:22" x14ac:dyDescent="0.2">
      <c r="A132">
        <v>6005</v>
      </c>
      <c r="B132">
        <v>14</v>
      </c>
      <c r="C132">
        <v>0</v>
      </c>
      <c r="D132">
        <v>58.249141770172997</v>
      </c>
      <c r="E132">
        <v>0</v>
      </c>
      <c r="F132">
        <v>239.12805568808801</v>
      </c>
      <c r="G132">
        <v>0</v>
      </c>
      <c r="H132">
        <v>0</v>
      </c>
      <c r="I132">
        <v>17.786633291309599</v>
      </c>
      <c r="J132">
        <v>10.423323092292801</v>
      </c>
      <c r="K132">
        <v>607.47347283797205</v>
      </c>
      <c r="L132">
        <v>0</v>
      </c>
      <c r="M132">
        <v>3534.28144398727</v>
      </c>
      <c r="N132">
        <v>0</v>
      </c>
      <c r="O132">
        <v>61.148233471055697</v>
      </c>
      <c r="P132">
        <v>810.29192580856204</v>
      </c>
      <c r="Q132">
        <v>116.442838869612</v>
      </c>
      <c r="R132">
        <v>0</v>
      </c>
      <c r="S132">
        <v>2280.1918617279998</v>
      </c>
      <c r="T132">
        <v>195.28836605931301</v>
      </c>
      <c r="U132">
        <v>1E-3</v>
      </c>
      <c r="V132">
        <v>627.49778979974303</v>
      </c>
    </row>
    <row r="133" spans="1:22" x14ac:dyDescent="0.2">
      <c r="A133">
        <v>6005</v>
      </c>
      <c r="B133">
        <v>15</v>
      </c>
      <c r="C133">
        <v>0</v>
      </c>
      <c r="D133">
        <v>88.3265964897044</v>
      </c>
      <c r="E133">
        <v>0</v>
      </c>
      <c r="F133">
        <v>281.25047829616699</v>
      </c>
      <c r="G133">
        <v>0</v>
      </c>
      <c r="H133">
        <v>0</v>
      </c>
      <c r="I133">
        <v>24.4840599584568</v>
      </c>
      <c r="J133">
        <v>8.2431505269302505</v>
      </c>
      <c r="K133">
        <v>601.42735740782496</v>
      </c>
      <c r="L133">
        <v>0</v>
      </c>
      <c r="M133">
        <v>3328.4899059910299</v>
      </c>
      <c r="N133">
        <v>0</v>
      </c>
      <c r="O133">
        <v>59.849293667059797</v>
      </c>
      <c r="P133">
        <v>792.49143660464904</v>
      </c>
      <c r="Q133">
        <v>116.442838869612</v>
      </c>
      <c r="R133">
        <v>0</v>
      </c>
      <c r="S133">
        <v>2226.8268844169202</v>
      </c>
      <c r="T133">
        <v>239.28569552519301</v>
      </c>
      <c r="U133">
        <v>1E-3</v>
      </c>
      <c r="V133">
        <v>608.00736025544097</v>
      </c>
    </row>
    <row r="134" spans="1:22" x14ac:dyDescent="0.2">
      <c r="A134">
        <v>6005</v>
      </c>
      <c r="B134">
        <v>16</v>
      </c>
      <c r="C134">
        <v>0</v>
      </c>
      <c r="D134">
        <v>122.362808479707</v>
      </c>
      <c r="E134">
        <v>0</v>
      </c>
      <c r="F134">
        <v>314.493884952249</v>
      </c>
      <c r="G134">
        <v>0</v>
      </c>
      <c r="H134">
        <v>0</v>
      </c>
      <c r="I134">
        <v>31.968711046167101</v>
      </c>
      <c r="J134">
        <v>7.6284696234662697</v>
      </c>
      <c r="K134">
        <v>595.12397168905397</v>
      </c>
      <c r="L134">
        <v>0</v>
      </c>
      <c r="M134">
        <v>3221.1813665992699</v>
      </c>
      <c r="N134">
        <v>0</v>
      </c>
      <c r="O134">
        <v>56.602645444834103</v>
      </c>
      <c r="P134">
        <v>775.09751122216801</v>
      </c>
      <c r="Q134">
        <v>116.442838869612</v>
      </c>
      <c r="R134">
        <v>0</v>
      </c>
      <c r="S134">
        <v>2159.3441755414601</v>
      </c>
      <c r="T134">
        <v>283.20943639084902</v>
      </c>
      <c r="U134">
        <v>1E-3</v>
      </c>
      <c r="V134">
        <v>588.74387358655702</v>
      </c>
    </row>
    <row r="135" spans="1:22" x14ac:dyDescent="0.2">
      <c r="A135">
        <v>6005</v>
      </c>
      <c r="B135">
        <v>17</v>
      </c>
      <c r="C135">
        <v>0</v>
      </c>
      <c r="D135">
        <v>159.56329889469399</v>
      </c>
      <c r="E135">
        <v>0</v>
      </c>
      <c r="F135">
        <v>340.121768696559</v>
      </c>
      <c r="G135">
        <v>0</v>
      </c>
      <c r="H135">
        <v>0</v>
      </c>
      <c r="I135">
        <v>40.291208900002601</v>
      </c>
      <c r="J135">
        <v>6.9643068955528502</v>
      </c>
      <c r="K135">
        <v>588.631823271342</v>
      </c>
      <c r="L135">
        <v>0</v>
      </c>
      <c r="M135">
        <v>3099.9286803584801</v>
      </c>
      <c r="N135">
        <v>0</v>
      </c>
      <c r="O135">
        <v>55.404229553337998</v>
      </c>
      <c r="P135">
        <v>758.10086347152799</v>
      </c>
      <c r="Q135">
        <v>116.442838869612</v>
      </c>
      <c r="R135">
        <v>0</v>
      </c>
      <c r="S135">
        <v>2050.6401780818101</v>
      </c>
      <c r="T135">
        <v>276.86183853663402</v>
      </c>
      <c r="U135">
        <v>1E-3</v>
      </c>
      <c r="V135">
        <v>696.73856803307297</v>
      </c>
    </row>
    <row r="136" spans="1:22" x14ac:dyDescent="0.2">
      <c r="A136">
        <v>6005</v>
      </c>
      <c r="B136">
        <v>18</v>
      </c>
      <c r="C136">
        <v>0</v>
      </c>
      <c r="D136">
        <v>199.27532381440699</v>
      </c>
      <c r="E136">
        <v>0</v>
      </c>
      <c r="F136">
        <v>359.21999161280399</v>
      </c>
      <c r="G136">
        <v>0</v>
      </c>
      <c r="H136">
        <v>0</v>
      </c>
      <c r="I136">
        <v>49.490109856986798</v>
      </c>
      <c r="J136">
        <v>4.38023132703945</v>
      </c>
      <c r="K136">
        <v>581.904640692307</v>
      </c>
      <c r="L136">
        <v>0</v>
      </c>
      <c r="M136">
        <v>3018.8640745573298</v>
      </c>
      <c r="N136">
        <v>0</v>
      </c>
      <c r="O136">
        <v>53.966370729776997</v>
      </c>
      <c r="P136">
        <v>741.49241981432795</v>
      </c>
      <c r="Q136">
        <v>116.442838869612</v>
      </c>
      <c r="R136">
        <v>0</v>
      </c>
      <c r="S136">
        <v>1985.7565036497799</v>
      </c>
      <c r="T136">
        <v>270.53830542153099</v>
      </c>
      <c r="U136">
        <v>1E-3</v>
      </c>
      <c r="V136">
        <v>806.01121373072999</v>
      </c>
    </row>
    <row r="137" spans="1:22" x14ac:dyDescent="0.2">
      <c r="A137">
        <v>6005</v>
      </c>
      <c r="B137">
        <v>19</v>
      </c>
      <c r="C137">
        <v>0</v>
      </c>
      <c r="D137">
        <v>240.954233547863</v>
      </c>
      <c r="E137">
        <v>0</v>
      </c>
      <c r="F137">
        <v>372.70406300236999</v>
      </c>
      <c r="G137">
        <v>0</v>
      </c>
      <c r="H137">
        <v>0</v>
      </c>
      <c r="I137">
        <v>59.600226756958897</v>
      </c>
      <c r="J137">
        <v>4.23209472400168</v>
      </c>
      <c r="K137">
        <v>574.91243382836399</v>
      </c>
      <c r="L137">
        <v>0</v>
      </c>
      <c r="M137">
        <v>2954.30102221367</v>
      </c>
      <c r="N137">
        <v>0</v>
      </c>
      <c r="O137">
        <v>53.015090496796098</v>
      </c>
      <c r="P137">
        <v>725.26331330203902</v>
      </c>
      <c r="Q137">
        <v>116.442838869612</v>
      </c>
      <c r="R137">
        <v>0</v>
      </c>
      <c r="S137">
        <v>1924.0410162496901</v>
      </c>
      <c r="T137">
        <v>289.39667889615203</v>
      </c>
      <c r="U137">
        <v>1E-3</v>
      </c>
      <c r="V137">
        <v>848.160900810106</v>
      </c>
    </row>
    <row r="138" spans="1:22" x14ac:dyDescent="0.2">
      <c r="A138">
        <v>6005</v>
      </c>
      <c r="B138">
        <v>20</v>
      </c>
      <c r="C138">
        <v>0</v>
      </c>
      <c r="D138">
        <v>284.14275794636399</v>
      </c>
      <c r="E138">
        <v>0</v>
      </c>
      <c r="F138">
        <v>381.34949092803299</v>
      </c>
      <c r="G138">
        <v>0</v>
      </c>
      <c r="H138">
        <v>0</v>
      </c>
      <c r="I138">
        <v>70.653816832621402</v>
      </c>
      <c r="J138">
        <v>4.13543354585582</v>
      </c>
      <c r="K138">
        <v>567.65020417529695</v>
      </c>
      <c r="L138">
        <v>0</v>
      </c>
      <c r="M138">
        <v>2912.21899497923</v>
      </c>
      <c r="N138">
        <v>0</v>
      </c>
      <c r="O138">
        <v>51.712434719803603</v>
      </c>
      <c r="P138">
        <v>708.58625257836695</v>
      </c>
      <c r="Q138">
        <v>116.442838869612</v>
      </c>
      <c r="R138">
        <v>0</v>
      </c>
      <c r="S138">
        <v>1859.9422200653901</v>
      </c>
      <c r="T138">
        <v>307.19637718640899</v>
      </c>
      <c r="U138">
        <v>1E-3</v>
      </c>
      <c r="V138">
        <v>905.97592850739102</v>
      </c>
    </row>
    <row r="139" spans="1:22" x14ac:dyDescent="0.2">
      <c r="A139">
        <v>6005</v>
      </c>
      <c r="B139">
        <v>21</v>
      </c>
      <c r="C139">
        <v>0</v>
      </c>
      <c r="D139">
        <v>328.456266422954</v>
      </c>
      <c r="E139">
        <v>0</v>
      </c>
      <c r="F139">
        <v>385.81824596572</v>
      </c>
      <c r="G139">
        <v>0</v>
      </c>
      <c r="H139">
        <v>0</v>
      </c>
      <c r="I139">
        <v>82.653369823435895</v>
      </c>
      <c r="J139">
        <v>3.5400321525097702</v>
      </c>
      <c r="K139">
        <v>560.07425207384495</v>
      </c>
      <c r="L139">
        <v>0</v>
      </c>
      <c r="M139">
        <v>2829.5844919732599</v>
      </c>
      <c r="N139">
        <v>0</v>
      </c>
      <c r="O139">
        <v>50.619811998362799</v>
      </c>
      <c r="P139">
        <v>693.10872415845904</v>
      </c>
      <c r="Q139">
        <v>116.442838869612</v>
      </c>
      <c r="R139">
        <v>0</v>
      </c>
      <c r="S139">
        <v>1777.60479684508</v>
      </c>
      <c r="T139">
        <v>325.279830127487</v>
      </c>
      <c r="U139">
        <v>1E-3</v>
      </c>
      <c r="V139">
        <v>961.83540962051404</v>
      </c>
    </row>
    <row r="140" spans="1:22" x14ac:dyDescent="0.2">
      <c r="A140">
        <v>6005</v>
      </c>
      <c r="B140">
        <v>22</v>
      </c>
      <c r="C140">
        <v>0</v>
      </c>
      <c r="D140">
        <v>373.56481015576901</v>
      </c>
      <c r="E140">
        <v>0</v>
      </c>
      <c r="F140">
        <v>386.672347354387</v>
      </c>
      <c r="G140">
        <v>0</v>
      </c>
      <c r="H140">
        <v>0</v>
      </c>
      <c r="I140">
        <v>95.647244031075005</v>
      </c>
      <c r="J140">
        <v>3.4591777053213901</v>
      </c>
      <c r="K140">
        <v>552.20787932961298</v>
      </c>
      <c r="L140">
        <v>0</v>
      </c>
      <c r="M140">
        <v>2760.61305758656</v>
      </c>
      <c r="N140">
        <v>0</v>
      </c>
      <c r="O140">
        <v>49.404549469242397</v>
      </c>
      <c r="P140">
        <v>666.52035801325701</v>
      </c>
      <c r="Q140">
        <v>116.442838869612</v>
      </c>
      <c r="R140">
        <v>0</v>
      </c>
      <c r="S140">
        <v>1708.1736376377601</v>
      </c>
      <c r="T140">
        <v>343.25814812005098</v>
      </c>
      <c r="U140">
        <v>1E-3</v>
      </c>
      <c r="V140">
        <v>1022.19555402982</v>
      </c>
    </row>
    <row r="141" spans="1:22" x14ac:dyDescent="0.2">
      <c r="A141">
        <v>6005</v>
      </c>
      <c r="B141">
        <v>23</v>
      </c>
      <c r="C141">
        <v>0</v>
      </c>
      <c r="D141">
        <v>419.18622414969201</v>
      </c>
      <c r="E141">
        <v>0</v>
      </c>
      <c r="F141">
        <v>386.672347354387</v>
      </c>
      <c r="G141">
        <v>0</v>
      </c>
      <c r="H141">
        <v>0</v>
      </c>
      <c r="I141">
        <v>107.986875158001</v>
      </c>
      <c r="J141">
        <v>2.8460393493501299</v>
      </c>
      <c r="K141">
        <v>447.52535638924797</v>
      </c>
      <c r="L141">
        <v>0</v>
      </c>
      <c r="M141">
        <v>2688.6984386096801</v>
      </c>
      <c r="N141">
        <v>0</v>
      </c>
      <c r="O141">
        <v>47.992279413224701</v>
      </c>
      <c r="P141">
        <v>652.00361605144496</v>
      </c>
      <c r="Q141">
        <v>116.442838869612</v>
      </c>
      <c r="R141">
        <v>0</v>
      </c>
      <c r="S141">
        <v>1636.1108146281099</v>
      </c>
      <c r="T141">
        <v>361.16464739477101</v>
      </c>
      <c r="U141">
        <v>1E-3</v>
      </c>
      <c r="V141">
        <v>1108.2946590438</v>
      </c>
    </row>
    <row r="142" spans="1:22" x14ac:dyDescent="0.2">
      <c r="A142">
        <v>6005</v>
      </c>
      <c r="B142">
        <v>24</v>
      </c>
      <c r="C142">
        <v>0</v>
      </c>
      <c r="D142">
        <v>465.05316732637698</v>
      </c>
      <c r="E142">
        <v>0</v>
      </c>
      <c r="F142">
        <v>386.672347354387</v>
      </c>
      <c r="G142">
        <v>0</v>
      </c>
      <c r="H142">
        <v>0</v>
      </c>
      <c r="I142">
        <v>121.062219073181</v>
      </c>
      <c r="J142">
        <v>2.1344643991660699</v>
      </c>
      <c r="K142">
        <v>439.02474851941201</v>
      </c>
      <c r="L142">
        <v>0</v>
      </c>
      <c r="M142">
        <v>2554.6439803285998</v>
      </c>
      <c r="N142">
        <v>0</v>
      </c>
      <c r="O142">
        <v>46.972826369423402</v>
      </c>
      <c r="P142">
        <v>637.81843673672597</v>
      </c>
      <c r="Q142">
        <v>116.442838869612</v>
      </c>
      <c r="R142">
        <v>0</v>
      </c>
      <c r="S142">
        <v>1561.0816903341499</v>
      </c>
      <c r="T142">
        <v>384.27834438811499</v>
      </c>
      <c r="U142">
        <v>1E-3</v>
      </c>
      <c r="V142">
        <v>1186.2853247855201</v>
      </c>
    </row>
    <row r="143" spans="1:22" x14ac:dyDescent="0.2">
      <c r="A143">
        <v>6005</v>
      </c>
      <c r="B143">
        <v>25</v>
      </c>
      <c r="C143">
        <v>0</v>
      </c>
      <c r="D143">
        <v>512.27039600644798</v>
      </c>
      <c r="E143">
        <v>0</v>
      </c>
      <c r="F143">
        <v>386.672347354387</v>
      </c>
      <c r="G143">
        <v>0</v>
      </c>
      <c r="H143">
        <v>0</v>
      </c>
      <c r="I143">
        <v>136.11371778521999</v>
      </c>
      <c r="J143">
        <v>2.2632098267453098</v>
      </c>
      <c r="K143">
        <v>238.60173043460901</v>
      </c>
      <c r="L143">
        <v>0</v>
      </c>
      <c r="M143">
        <v>2424.1349266041798</v>
      </c>
      <c r="N143">
        <v>0</v>
      </c>
      <c r="O143">
        <v>45.366126612743997</v>
      </c>
      <c r="P143">
        <v>623.95724739290699</v>
      </c>
      <c r="Q143">
        <v>116.442838869612</v>
      </c>
      <c r="R143">
        <v>0</v>
      </c>
      <c r="S143">
        <v>1482.73769938594</v>
      </c>
      <c r="T143">
        <v>402.092491268027</v>
      </c>
      <c r="U143">
        <v>1E-3</v>
      </c>
      <c r="V143">
        <v>1498.9372879627299</v>
      </c>
    </row>
    <row r="144" spans="1:22" x14ac:dyDescent="0.2">
      <c r="A144">
        <v>6005</v>
      </c>
      <c r="B144">
        <v>26</v>
      </c>
      <c r="C144">
        <v>0</v>
      </c>
      <c r="D144">
        <v>558.59140882496899</v>
      </c>
      <c r="E144">
        <v>0</v>
      </c>
      <c r="F144">
        <v>386.672347354387</v>
      </c>
      <c r="G144">
        <v>0</v>
      </c>
      <c r="H144">
        <v>0</v>
      </c>
      <c r="I144">
        <v>149.85692833799899</v>
      </c>
      <c r="J144">
        <v>2.2333927654269399</v>
      </c>
      <c r="K144">
        <v>229.240273621874</v>
      </c>
      <c r="L144">
        <v>0</v>
      </c>
      <c r="M144">
        <v>2315.5863507909498</v>
      </c>
      <c r="N144">
        <v>0</v>
      </c>
      <c r="O144">
        <v>44.227713615021599</v>
      </c>
      <c r="P144">
        <v>609.95654787508397</v>
      </c>
      <c r="Q144">
        <v>116.442838869612</v>
      </c>
      <c r="R144">
        <v>0</v>
      </c>
      <c r="S144">
        <v>1368.29004066793</v>
      </c>
      <c r="T144">
        <v>423.99244418695901</v>
      </c>
      <c r="U144">
        <v>1E-3</v>
      </c>
      <c r="V144">
        <v>1558.37450733217</v>
      </c>
    </row>
    <row r="145" spans="1:22" x14ac:dyDescent="0.2">
      <c r="A145">
        <v>6005</v>
      </c>
      <c r="B145">
        <v>27</v>
      </c>
      <c r="C145">
        <v>0</v>
      </c>
      <c r="D145">
        <v>604.39944178951703</v>
      </c>
      <c r="E145">
        <v>0</v>
      </c>
      <c r="F145">
        <v>386.672347354387</v>
      </c>
      <c r="G145">
        <v>0</v>
      </c>
      <c r="H145">
        <v>0</v>
      </c>
      <c r="I145">
        <v>165.07772874765499</v>
      </c>
      <c r="J145">
        <v>1.8379516814330601</v>
      </c>
      <c r="K145">
        <v>219.40093218637301</v>
      </c>
      <c r="L145">
        <v>0</v>
      </c>
      <c r="M145">
        <v>2186.4930789725699</v>
      </c>
      <c r="N145">
        <v>0</v>
      </c>
      <c r="O145">
        <v>43.103110692195699</v>
      </c>
      <c r="P145">
        <v>596.73172488866396</v>
      </c>
      <c r="Q145">
        <v>116.442838869612</v>
      </c>
      <c r="R145">
        <v>0</v>
      </c>
      <c r="S145">
        <v>1281.44481938034</v>
      </c>
      <c r="T145">
        <v>445.26715947344002</v>
      </c>
      <c r="U145">
        <v>1E-3</v>
      </c>
      <c r="V145">
        <v>1569.1105846233299</v>
      </c>
    </row>
    <row r="146" spans="1:22" x14ac:dyDescent="0.2">
      <c r="A146">
        <v>6005</v>
      </c>
      <c r="B146">
        <v>28</v>
      </c>
      <c r="C146">
        <v>0</v>
      </c>
      <c r="D146">
        <v>649.410271736151</v>
      </c>
      <c r="E146">
        <v>0</v>
      </c>
      <c r="F146">
        <v>386.672347354387</v>
      </c>
      <c r="G146">
        <v>0</v>
      </c>
      <c r="H146">
        <v>0</v>
      </c>
      <c r="I146">
        <v>181.355471885263</v>
      </c>
      <c r="J146">
        <v>1.8142123718710099</v>
      </c>
      <c r="K146">
        <v>209.071536288603</v>
      </c>
      <c r="L146">
        <v>0</v>
      </c>
      <c r="M146">
        <v>2053.1332564777199</v>
      </c>
      <c r="N146">
        <v>0</v>
      </c>
      <c r="O146">
        <v>41.991595566668103</v>
      </c>
      <c r="P146">
        <v>583.80895751197897</v>
      </c>
      <c r="Q146">
        <v>116.442838869612</v>
      </c>
      <c r="R146">
        <v>0</v>
      </c>
      <c r="S146">
        <v>1190.2742183406799</v>
      </c>
      <c r="T146">
        <v>467.40298638906398</v>
      </c>
      <c r="U146">
        <v>1E-3</v>
      </c>
      <c r="V146">
        <v>1538.56337103695</v>
      </c>
    </row>
    <row r="147" spans="1:22" x14ac:dyDescent="0.2">
      <c r="A147">
        <v>6005</v>
      </c>
      <c r="B147">
        <v>29</v>
      </c>
      <c r="C147">
        <v>0</v>
      </c>
      <c r="D147">
        <v>693.55435080299605</v>
      </c>
      <c r="E147">
        <v>0</v>
      </c>
      <c r="F147">
        <v>386.672347354387</v>
      </c>
      <c r="G147">
        <v>0</v>
      </c>
      <c r="H147">
        <v>0</v>
      </c>
      <c r="I147">
        <v>199.15929178955599</v>
      </c>
      <c r="J147">
        <v>1.7910152683349601</v>
      </c>
      <c r="K147">
        <v>157.50193801047601</v>
      </c>
      <c r="L147">
        <v>0</v>
      </c>
      <c r="M147">
        <v>1910.47013163574</v>
      </c>
      <c r="N147">
        <v>0</v>
      </c>
      <c r="O147">
        <v>40.893254164892902</v>
      </c>
      <c r="P147">
        <v>571.07052414630903</v>
      </c>
      <c r="Q147">
        <v>119.644175367893</v>
      </c>
      <c r="R147">
        <v>0</v>
      </c>
      <c r="S147">
        <v>1092.57308573251</v>
      </c>
      <c r="T147">
        <v>504.67638632212697</v>
      </c>
      <c r="U147">
        <v>1E-3</v>
      </c>
      <c r="V147">
        <v>1551.2019354194399</v>
      </c>
    </row>
    <row r="148" spans="1:22" x14ac:dyDescent="0.2">
      <c r="A148">
        <v>6005</v>
      </c>
      <c r="B148">
        <v>30</v>
      </c>
      <c r="C148">
        <v>0</v>
      </c>
      <c r="D148">
        <v>736.46840625542904</v>
      </c>
      <c r="E148">
        <v>0</v>
      </c>
      <c r="F148">
        <v>386.672347354387</v>
      </c>
      <c r="G148">
        <v>0</v>
      </c>
      <c r="H148">
        <v>0</v>
      </c>
      <c r="I148">
        <v>216.529031235817</v>
      </c>
      <c r="J148">
        <v>0</v>
      </c>
      <c r="K148">
        <v>146.252659145519</v>
      </c>
      <c r="L148">
        <v>0</v>
      </c>
      <c r="M148">
        <v>1729.7385943914901</v>
      </c>
      <c r="N148">
        <v>0</v>
      </c>
      <c r="O148">
        <v>39.807498826795197</v>
      </c>
      <c r="P148">
        <v>557.65095039152095</v>
      </c>
      <c r="Q148">
        <v>119.644175367893</v>
      </c>
      <c r="R148">
        <v>0</v>
      </c>
      <c r="S148">
        <v>985.45058464503404</v>
      </c>
      <c r="T148">
        <v>536.14529944195397</v>
      </c>
      <c r="U148">
        <v>1E-3</v>
      </c>
      <c r="V148">
        <v>1691.75437457055</v>
      </c>
    </row>
    <row r="149" spans="1:22" x14ac:dyDescent="0.2">
      <c r="A149">
        <v>6005</v>
      </c>
      <c r="B149">
        <v>31</v>
      </c>
      <c r="C149">
        <v>0</v>
      </c>
      <c r="D149">
        <v>777.91490400960299</v>
      </c>
      <c r="E149">
        <v>0</v>
      </c>
      <c r="F149">
        <v>386.672347354387</v>
      </c>
      <c r="G149">
        <v>0</v>
      </c>
      <c r="H149">
        <v>0</v>
      </c>
      <c r="I149">
        <v>234.80235080023701</v>
      </c>
      <c r="J149">
        <v>0</v>
      </c>
      <c r="K149">
        <v>134.546321060525</v>
      </c>
      <c r="L149">
        <v>0</v>
      </c>
      <c r="M149">
        <v>1567.86519136677</v>
      </c>
      <c r="N149">
        <v>0</v>
      </c>
      <c r="O149">
        <v>38.733957963605</v>
      </c>
      <c r="P149">
        <v>545.62078916609903</v>
      </c>
      <c r="Q149">
        <v>121.522524595951</v>
      </c>
      <c r="R149">
        <v>0</v>
      </c>
      <c r="S149">
        <v>875.02824748942999</v>
      </c>
      <c r="T149">
        <v>568.80916011421198</v>
      </c>
      <c r="U149">
        <v>1E-3</v>
      </c>
      <c r="V149">
        <v>1665.77583158725</v>
      </c>
    </row>
    <row r="150" spans="1:22" x14ac:dyDescent="0.2">
      <c r="A150">
        <v>6005</v>
      </c>
      <c r="B150">
        <v>32</v>
      </c>
      <c r="C150">
        <v>0</v>
      </c>
      <c r="D150">
        <v>817.68502536092205</v>
      </c>
      <c r="E150">
        <v>0</v>
      </c>
      <c r="F150">
        <v>386.672347354387</v>
      </c>
      <c r="G150">
        <v>0</v>
      </c>
      <c r="H150">
        <v>0</v>
      </c>
      <c r="I150">
        <v>254.34733072451999</v>
      </c>
      <c r="J150">
        <v>0</v>
      </c>
      <c r="K150">
        <v>122.407485598364</v>
      </c>
      <c r="L150">
        <v>0</v>
      </c>
      <c r="M150">
        <v>1396.5413581196301</v>
      </c>
      <c r="N150">
        <v>0</v>
      </c>
      <c r="O150">
        <v>37.672601498878201</v>
      </c>
      <c r="P150">
        <v>533.74131610862798</v>
      </c>
      <c r="Q150">
        <v>126.981549781905</v>
      </c>
      <c r="R150">
        <v>0</v>
      </c>
      <c r="S150">
        <v>754.42446766137505</v>
      </c>
      <c r="T150">
        <v>605.14494562196705</v>
      </c>
      <c r="U150">
        <v>1E-3</v>
      </c>
      <c r="V150">
        <v>1647.00002491243</v>
      </c>
    </row>
    <row r="151" spans="1:22" x14ac:dyDescent="0.2">
      <c r="A151">
        <v>6005</v>
      </c>
      <c r="B151">
        <v>33</v>
      </c>
      <c r="C151">
        <v>0</v>
      </c>
      <c r="D151">
        <v>855.63576235007497</v>
      </c>
      <c r="E151">
        <v>0</v>
      </c>
      <c r="F151">
        <v>386.672347354387</v>
      </c>
      <c r="G151">
        <v>0</v>
      </c>
      <c r="H151">
        <v>0</v>
      </c>
      <c r="I151">
        <v>273.65483579989302</v>
      </c>
      <c r="J151">
        <v>0</v>
      </c>
      <c r="K151">
        <v>109.866644419324</v>
      </c>
      <c r="L151">
        <v>0</v>
      </c>
      <c r="M151">
        <v>1194.88927832581</v>
      </c>
      <c r="N151">
        <v>0</v>
      </c>
      <c r="O151">
        <v>36.623514465330999</v>
      </c>
      <c r="P151">
        <v>522.19258659072204</v>
      </c>
      <c r="Q151">
        <v>126.981549781905</v>
      </c>
      <c r="R151">
        <v>0</v>
      </c>
      <c r="S151">
        <v>643.73493275035503</v>
      </c>
      <c r="T151">
        <v>651.11599470285205</v>
      </c>
      <c r="U151">
        <v>1E-3</v>
      </c>
      <c r="V151">
        <v>1694.27228729065</v>
      </c>
    </row>
    <row r="152" spans="1:22" x14ac:dyDescent="0.2">
      <c r="A152">
        <v>6005</v>
      </c>
      <c r="B152">
        <v>34</v>
      </c>
      <c r="C152">
        <v>0</v>
      </c>
      <c r="D152">
        <v>891.98366951796402</v>
      </c>
      <c r="E152">
        <v>0</v>
      </c>
      <c r="F152">
        <v>386.672347354387</v>
      </c>
      <c r="G152">
        <v>0</v>
      </c>
      <c r="H152">
        <v>0</v>
      </c>
      <c r="I152">
        <v>293.609983754621</v>
      </c>
      <c r="J152">
        <v>0</v>
      </c>
      <c r="K152">
        <v>96.952530320758598</v>
      </c>
      <c r="L152">
        <v>0</v>
      </c>
      <c r="M152">
        <v>1005.55522077811</v>
      </c>
      <c r="N152">
        <v>0</v>
      </c>
      <c r="O152">
        <v>35.650441249719499</v>
      </c>
      <c r="P152">
        <v>510.97229534667599</v>
      </c>
      <c r="Q152">
        <v>126.981549781905</v>
      </c>
      <c r="R152">
        <v>0</v>
      </c>
      <c r="S152">
        <v>517.805880440078</v>
      </c>
      <c r="T152">
        <v>694.10565759402198</v>
      </c>
      <c r="U152">
        <v>1E-3</v>
      </c>
      <c r="V152">
        <v>1668.9946391325</v>
      </c>
    </row>
    <row r="153" spans="1:22" x14ac:dyDescent="0.2">
      <c r="A153">
        <v>6005</v>
      </c>
      <c r="B153">
        <v>35</v>
      </c>
      <c r="C153">
        <v>0</v>
      </c>
      <c r="D153">
        <v>953.91372408948803</v>
      </c>
      <c r="E153">
        <v>0</v>
      </c>
      <c r="F153">
        <v>386.672347354387</v>
      </c>
      <c r="G153">
        <v>0</v>
      </c>
      <c r="H153">
        <v>0</v>
      </c>
      <c r="I153">
        <v>314.22284518144102</v>
      </c>
      <c r="J153">
        <v>0</v>
      </c>
      <c r="K153">
        <v>83.686069653504305</v>
      </c>
      <c r="L153">
        <v>0</v>
      </c>
      <c r="M153">
        <v>779.803126681972</v>
      </c>
      <c r="N153">
        <v>0</v>
      </c>
      <c r="O153">
        <v>34.859781627115403</v>
      </c>
      <c r="P153">
        <v>500.00827602659302</v>
      </c>
      <c r="Q153">
        <v>126.981549781905</v>
      </c>
      <c r="R153">
        <v>0</v>
      </c>
      <c r="S153">
        <v>400.71179239533097</v>
      </c>
      <c r="T153">
        <v>732.55761879082399</v>
      </c>
      <c r="U153">
        <v>1E-3</v>
      </c>
      <c r="V153">
        <v>1731.95078503733</v>
      </c>
    </row>
    <row r="154" spans="1:22" x14ac:dyDescent="0.2">
      <c r="A154">
        <v>6005</v>
      </c>
      <c r="B154">
        <v>36</v>
      </c>
      <c r="C154">
        <v>0</v>
      </c>
      <c r="D154">
        <v>1045.1345233608599</v>
      </c>
      <c r="E154">
        <v>0</v>
      </c>
      <c r="F154">
        <v>386.672347354387</v>
      </c>
      <c r="G154">
        <v>0</v>
      </c>
      <c r="H154">
        <v>0</v>
      </c>
      <c r="I154">
        <v>334.82361481029602</v>
      </c>
      <c r="J154">
        <v>0</v>
      </c>
      <c r="K154">
        <v>70.119123148078998</v>
      </c>
      <c r="L154">
        <v>0</v>
      </c>
      <c r="M154">
        <v>573.78887482386403</v>
      </c>
      <c r="N154">
        <v>0</v>
      </c>
      <c r="O154">
        <v>34.712186276547101</v>
      </c>
      <c r="P154">
        <v>500.00827602659302</v>
      </c>
      <c r="Q154">
        <v>126.981549781905</v>
      </c>
      <c r="R154">
        <v>0</v>
      </c>
      <c r="S154">
        <v>280.96551880739497</v>
      </c>
      <c r="T154">
        <v>785.68408583475298</v>
      </c>
      <c r="U154">
        <v>1E-3</v>
      </c>
      <c r="V154">
        <v>1817.91678595962</v>
      </c>
    </row>
    <row r="155" spans="1:22" x14ac:dyDescent="0.2">
      <c r="A155">
        <v>6005</v>
      </c>
      <c r="B155">
        <v>37</v>
      </c>
      <c r="C155">
        <v>0</v>
      </c>
      <c r="D155">
        <v>1045.1345233608599</v>
      </c>
      <c r="E155">
        <v>0</v>
      </c>
      <c r="F155">
        <v>386.672347354387</v>
      </c>
      <c r="G155">
        <v>0</v>
      </c>
      <c r="H155">
        <v>0</v>
      </c>
      <c r="I155">
        <v>355.97580296551803</v>
      </c>
      <c r="J155">
        <v>0</v>
      </c>
      <c r="K155">
        <v>56.190968353145102</v>
      </c>
      <c r="L155">
        <v>0</v>
      </c>
      <c r="M155">
        <v>358.70605349021702</v>
      </c>
      <c r="N155">
        <v>0</v>
      </c>
      <c r="O155">
        <v>34.712186276547101</v>
      </c>
      <c r="P155">
        <v>500.00827602659302</v>
      </c>
      <c r="Q155">
        <v>126.981549781905</v>
      </c>
      <c r="R155">
        <v>0</v>
      </c>
      <c r="S155">
        <v>150.19838921851999</v>
      </c>
      <c r="T155">
        <v>843.12542571545896</v>
      </c>
      <c r="U155">
        <v>1E-3</v>
      </c>
      <c r="V155">
        <v>1978.00635392505</v>
      </c>
    </row>
    <row r="156" spans="1:22" x14ac:dyDescent="0.2">
      <c r="A156">
        <v>6005</v>
      </c>
      <c r="B156">
        <v>38</v>
      </c>
      <c r="C156">
        <v>0</v>
      </c>
      <c r="D156">
        <v>1045.1345233608599</v>
      </c>
      <c r="E156">
        <v>0</v>
      </c>
      <c r="F156">
        <v>386.672347354387</v>
      </c>
      <c r="G156">
        <v>0</v>
      </c>
      <c r="H156">
        <v>0</v>
      </c>
      <c r="I156">
        <v>377.64420109438697</v>
      </c>
      <c r="J156">
        <v>0</v>
      </c>
      <c r="K156">
        <v>41.946528227938103</v>
      </c>
      <c r="L156">
        <v>0</v>
      </c>
      <c r="M156">
        <v>119.69197251529501</v>
      </c>
      <c r="N156">
        <v>0</v>
      </c>
      <c r="O156">
        <v>34.011108286959299</v>
      </c>
      <c r="P156">
        <v>500.00827602659302</v>
      </c>
      <c r="Q156">
        <v>126.981549781905</v>
      </c>
      <c r="R156">
        <v>0</v>
      </c>
      <c r="S156">
        <v>24.4723370329441</v>
      </c>
      <c r="T156">
        <v>905.20721868139901</v>
      </c>
      <c r="U156">
        <v>1E-3</v>
      </c>
      <c r="V156">
        <v>2338.2742563991701</v>
      </c>
    </row>
    <row r="157" spans="1:22" x14ac:dyDescent="0.2">
      <c r="A157">
        <v>6005</v>
      </c>
      <c r="B157">
        <v>39</v>
      </c>
      <c r="C157">
        <v>0</v>
      </c>
      <c r="D157">
        <v>1073.53202384567</v>
      </c>
      <c r="E157">
        <v>0</v>
      </c>
      <c r="F157">
        <v>386.672347354387</v>
      </c>
      <c r="G157">
        <v>0</v>
      </c>
      <c r="H157">
        <v>0</v>
      </c>
      <c r="I157">
        <v>399.82547990056099</v>
      </c>
      <c r="J157">
        <v>0</v>
      </c>
      <c r="K157">
        <v>41.946528227938103</v>
      </c>
      <c r="L157">
        <v>0</v>
      </c>
      <c r="M157">
        <v>119.69197251529501</v>
      </c>
      <c r="N157">
        <v>0</v>
      </c>
      <c r="O157">
        <v>34.231472001677901</v>
      </c>
      <c r="P157">
        <v>500.00827602659302</v>
      </c>
      <c r="Q157">
        <v>126.981549781905</v>
      </c>
      <c r="R157">
        <v>0</v>
      </c>
      <c r="S157">
        <v>24.4723370329441</v>
      </c>
      <c r="T157">
        <v>970.80335535377606</v>
      </c>
      <c r="U157">
        <v>1E-3</v>
      </c>
      <c r="V157">
        <v>2301.9149864483702</v>
      </c>
    </row>
    <row r="158" spans="1:22" x14ac:dyDescent="0.2">
      <c r="A158">
        <v>6005</v>
      </c>
      <c r="B158">
        <v>40</v>
      </c>
      <c r="C158">
        <v>0</v>
      </c>
      <c r="D158">
        <v>1102.89569108257</v>
      </c>
      <c r="E158">
        <v>0</v>
      </c>
      <c r="F158">
        <v>386.672347354387</v>
      </c>
      <c r="G158">
        <v>0</v>
      </c>
      <c r="H158">
        <v>0</v>
      </c>
      <c r="I158">
        <v>422.47973101082198</v>
      </c>
      <c r="J158">
        <v>0</v>
      </c>
      <c r="K158">
        <v>41.946528227938103</v>
      </c>
      <c r="L158">
        <v>0</v>
      </c>
      <c r="M158">
        <v>119.69197251529501</v>
      </c>
      <c r="N158">
        <v>0</v>
      </c>
      <c r="O158">
        <v>34.2672987975618</v>
      </c>
      <c r="P158">
        <v>500.00827602659302</v>
      </c>
      <c r="Q158">
        <v>126.981549781905</v>
      </c>
      <c r="R158">
        <v>0</v>
      </c>
      <c r="S158">
        <v>17.129167288767398</v>
      </c>
      <c r="T158">
        <v>1034.8754406671601</v>
      </c>
      <c r="U158">
        <v>1E-3</v>
      </c>
      <c r="V158">
        <v>2262.4385107099902</v>
      </c>
    </row>
    <row r="159" spans="1:22" x14ac:dyDescent="0.2">
      <c r="A159">
        <v>6005</v>
      </c>
      <c r="B159">
        <v>41</v>
      </c>
      <c r="C159">
        <v>0</v>
      </c>
      <c r="D159">
        <v>1129.55745244434</v>
      </c>
      <c r="E159">
        <v>0</v>
      </c>
      <c r="F159">
        <v>386.672347354387</v>
      </c>
      <c r="G159">
        <v>0</v>
      </c>
      <c r="H159">
        <v>0</v>
      </c>
      <c r="I159">
        <v>445.60400366328503</v>
      </c>
      <c r="J159">
        <v>0</v>
      </c>
      <c r="K159">
        <v>41.946528227938103</v>
      </c>
      <c r="L159">
        <v>0</v>
      </c>
      <c r="M159">
        <v>119.69197251529501</v>
      </c>
      <c r="N159">
        <v>0</v>
      </c>
      <c r="O159">
        <v>34.269400175249999</v>
      </c>
      <c r="P159">
        <v>500.00827602659302</v>
      </c>
      <c r="Q159">
        <v>126.981549781905</v>
      </c>
      <c r="R159">
        <v>0</v>
      </c>
      <c r="S159">
        <v>17.129167288767398</v>
      </c>
      <c r="T159">
        <v>1097.6701585508299</v>
      </c>
      <c r="U159">
        <v>1E-3</v>
      </c>
      <c r="V159">
        <v>2220.0553161000598</v>
      </c>
    </row>
    <row r="160" spans="1:22" x14ac:dyDescent="0.2">
      <c r="A160">
        <v>6005</v>
      </c>
      <c r="B160">
        <v>42</v>
      </c>
      <c r="C160">
        <v>0</v>
      </c>
      <c r="D160">
        <v>1152.5497624238001</v>
      </c>
      <c r="E160">
        <v>0</v>
      </c>
      <c r="F160">
        <v>386.672347354387</v>
      </c>
      <c r="G160">
        <v>0</v>
      </c>
      <c r="H160">
        <v>0</v>
      </c>
      <c r="I160">
        <v>469.22039621515597</v>
      </c>
      <c r="J160">
        <v>0</v>
      </c>
      <c r="K160">
        <v>41.946528227938103</v>
      </c>
      <c r="L160">
        <v>0</v>
      </c>
      <c r="M160">
        <v>119.69197251529501</v>
      </c>
      <c r="N160">
        <v>0</v>
      </c>
      <c r="O160">
        <v>29.402611816229999</v>
      </c>
      <c r="P160">
        <v>500.00827602659302</v>
      </c>
      <c r="Q160">
        <v>126.981549781905</v>
      </c>
      <c r="R160">
        <v>0</v>
      </c>
      <c r="S160">
        <v>17.129167288767398</v>
      </c>
      <c r="T160">
        <v>1158.5544785305599</v>
      </c>
      <c r="U160">
        <v>1E-3</v>
      </c>
      <c r="V160">
        <v>2177.67745330453</v>
      </c>
    </row>
    <row r="161" spans="1:24" x14ac:dyDescent="0.2">
      <c r="A161">
        <v>6005</v>
      </c>
      <c r="B161">
        <v>43</v>
      </c>
      <c r="C161">
        <v>0</v>
      </c>
      <c r="D161">
        <v>1171.5064896563599</v>
      </c>
      <c r="E161">
        <v>0</v>
      </c>
      <c r="F161">
        <v>386.672347354387</v>
      </c>
      <c r="G161">
        <v>0</v>
      </c>
      <c r="H161">
        <v>0</v>
      </c>
      <c r="I161">
        <v>493.33159874073402</v>
      </c>
      <c r="J161">
        <v>0</v>
      </c>
      <c r="K161">
        <v>41.946528227938103</v>
      </c>
      <c r="L161">
        <v>0</v>
      </c>
      <c r="M161">
        <v>119.69197251529501</v>
      </c>
      <c r="N161">
        <v>0</v>
      </c>
      <c r="O161">
        <v>0</v>
      </c>
      <c r="P161">
        <v>500.00827602659302</v>
      </c>
      <c r="Q161">
        <v>126.981549781905</v>
      </c>
      <c r="R161">
        <v>0</v>
      </c>
      <c r="S161">
        <v>17.129167288767398</v>
      </c>
      <c r="T161">
        <v>1217.27099175223</v>
      </c>
      <c r="U161">
        <v>1E-3</v>
      </c>
      <c r="V161">
        <v>2145.27964534797</v>
      </c>
    </row>
    <row r="162" spans="1:24" x14ac:dyDescent="0.2">
      <c r="A162">
        <v>6005</v>
      </c>
      <c r="B162">
        <v>44</v>
      </c>
      <c r="C162">
        <v>0</v>
      </c>
      <c r="D162">
        <v>1187.15649952851</v>
      </c>
      <c r="E162">
        <v>0</v>
      </c>
      <c r="F162">
        <v>386.672347354387</v>
      </c>
      <c r="G162">
        <v>0</v>
      </c>
      <c r="H162">
        <v>0</v>
      </c>
      <c r="I162">
        <v>517.96777003217198</v>
      </c>
      <c r="J162">
        <v>0</v>
      </c>
      <c r="K162">
        <v>41.946528227938103</v>
      </c>
      <c r="L162">
        <v>0</v>
      </c>
      <c r="M162">
        <v>119.69197251529501</v>
      </c>
      <c r="N162">
        <v>0</v>
      </c>
      <c r="O162">
        <v>0</v>
      </c>
      <c r="P162">
        <v>500.00827602659302</v>
      </c>
      <c r="Q162">
        <v>126.981549781905</v>
      </c>
      <c r="R162">
        <v>0</v>
      </c>
      <c r="S162">
        <v>17.129167288767398</v>
      </c>
      <c r="T162">
        <v>1274.5647074944</v>
      </c>
      <c r="U162">
        <v>1E-3</v>
      </c>
      <c r="V162">
        <v>2095.8133067264998</v>
      </c>
    </row>
    <row r="163" spans="1:24" x14ac:dyDescent="0.2">
      <c r="A163">
        <v>6005</v>
      </c>
      <c r="B163">
        <v>45</v>
      </c>
      <c r="C163">
        <v>0</v>
      </c>
      <c r="D163">
        <v>1187.15649952851</v>
      </c>
      <c r="E163">
        <v>0</v>
      </c>
      <c r="F163">
        <v>386.672347354387</v>
      </c>
      <c r="G163">
        <v>0</v>
      </c>
      <c r="H163">
        <v>0</v>
      </c>
      <c r="I163">
        <v>539.56964778451595</v>
      </c>
      <c r="J163">
        <v>0</v>
      </c>
      <c r="K163">
        <v>41.946528227938103</v>
      </c>
      <c r="L163">
        <v>0</v>
      </c>
      <c r="M163">
        <v>119.69197251529501</v>
      </c>
      <c r="N163">
        <v>0</v>
      </c>
      <c r="O163">
        <v>0</v>
      </c>
      <c r="P163">
        <v>500.00827602659302</v>
      </c>
      <c r="Q163">
        <v>126.981549781905</v>
      </c>
      <c r="R163">
        <v>0</v>
      </c>
      <c r="S163">
        <v>17.129167288767398</v>
      </c>
      <c r="T163">
        <v>1244.0382555558899</v>
      </c>
      <c r="U163">
        <v>1E-3</v>
      </c>
      <c r="V163">
        <v>1798.0500318411</v>
      </c>
    </row>
    <row r="164" spans="1:24" x14ac:dyDescent="0.2">
      <c r="C164" s="3">
        <f t="shared" ref="C164" si="14">+SUM(C126:C163)</f>
        <v>0</v>
      </c>
      <c r="D164" s="3">
        <f t="shared" ref="D164" si="15">+SUM(D126:D163)</f>
        <v>21987.704185439645</v>
      </c>
      <c r="E164" s="3">
        <f t="shared" ref="E164" si="16">+SUM(E126:E163)</f>
        <v>0</v>
      </c>
      <c r="F164" s="3">
        <f t="shared" ref="F164" si="17">+SUM(F126:F163)</f>
        <v>12531.172394840771</v>
      </c>
      <c r="G164" s="3">
        <f t="shared" ref="G164" si="18">+SUM(G126:G163)</f>
        <v>0</v>
      </c>
      <c r="H164" s="3">
        <f t="shared" ref="H164" si="19">+SUM(H126:H163)</f>
        <v>0</v>
      </c>
      <c r="I164" s="3">
        <f t="shared" ref="I164" si="20">+SUM(I126:I163)</f>
        <v>7502.7297997418209</v>
      </c>
      <c r="J164" s="3">
        <f t="shared" ref="J164" si="21">+SUM(J126:J163)</f>
        <v>340.26703279822527</v>
      </c>
      <c r="K164" s="3">
        <f t="shared" ref="K164" si="22">+SUM(K126:K163)</f>
        <v>12275.459721700103</v>
      </c>
      <c r="L164" s="3">
        <f t="shared" ref="L164" si="23">+SUM(L126:L163)</f>
        <v>0</v>
      </c>
      <c r="M164" s="3">
        <f>+SUM(M126:M163)</f>
        <v>74182.258720804399</v>
      </c>
      <c r="N164" s="3">
        <f t="shared" ref="N164" si="24">+SUM(N126:N163)</f>
        <v>0</v>
      </c>
      <c r="O164" s="3">
        <f t="shared" ref="O164" si="25">+SUM(O126:O163)</f>
        <v>2067.6982737700509</v>
      </c>
      <c r="P164" s="3">
        <f t="shared" ref="P164" si="26">+SUM(P126:P163)</f>
        <v>24386.885317353324</v>
      </c>
      <c r="Q164" s="3">
        <f t="shared" ref="Q164" si="27">+SUM(Q126:Q163)</f>
        <v>4803.7246279064111</v>
      </c>
      <c r="R164" s="3">
        <f t="shared" ref="R164" si="28">+SUM(R126:R163)</f>
        <v>0</v>
      </c>
      <c r="S164" s="3">
        <f t="shared" ref="S164" si="29">+SUM(S126:S163)</f>
        <v>46534.581371252105</v>
      </c>
      <c r="T164" s="3">
        <f t="shared" ref="T164" si="30">+SUM(T126:T163)</f>
        <v>20664.490558683709</v>
      </c>
      <c r="U164" s="3">
        <f t="shared" ref="U164" si="31">+SUM(U126:U163)</f>
        <v>3.8000000000000027E-2</v>
      </c>
      <c r="V164" s="3">
        <f t="shared" ref="V164" si="32">+SUM(V126:V163)</f>
        <v>50882.93315849817</v>
      </c>
      <c r="X164" s="3">
        <f>+SUM(C164:V164)</f>
        <v>278159.9431627887</v>
      </c>
    </row>
    <row r="165" spans="1:24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X165" s="3"/>
    </row>
    <row r="167" spans="1:24" x14ac:dyDescent="0.2">
      <c r="A167">
        <v>6005</v>
      </c>
      <c r="B167">
        <v>8</v>
      </c>
      <c r="C167" s="3">
        <f>+(C126-C2)</f>
        <v>0</v>
      </c>
      <c r="D167" s="3">
        <f t="shared" ref="D167:V167" si="33">+(D126-D2)</f>
        <v>0</v>
      </c>
      <c r="E167" s="3">
        <f t="shared" si="33"/>
        <v>0</v>
      </c>
      <c r="F167" s="3">
        <f t="shared" si="33"/>
        <v>20.939844196821198</v>
      </c>
      <c r="G167" s="3">
        <f t="shared" si="33"/>
        <v>0</v>
      </c>
      <c r="H167" s="3">
        <f t="shared" si="33"/>
        <v>0</v>
      </c>
      <c r="I167" s="3">
        <f t="shared" si="33"/>
        <v>7.0918987804539091E-3</v>
      </c>
      <c r="J167" s="3">
        <f t="shared" si="33"/>
        <v>0</v>
      </c>
      <c r="K167" s="3">
        <f t="shared" si="33"/>
        <v>2.1650083144710379</v>
      </c>
      <c r="L167" s="3">
        <f t="shared" si="33"/>
        <v>0</v>
      </c>
      <c r="M167" s="3">
        <f t="shared" si="33"/>
        <v>15.220177236649761</v>
      </c>
      <c r="N167" s="3">
        <f t="shared" si="33"/>
        <v>0</v>
      </c>
      <c r="O167" s="3">
        <f t="shared" si="33"/>
        <v>2.7244415649988696E-2</v>
      </c>
      <c r="P167" s="3">
        <f t="shared" si="33"/>
        <v>0.14886998901806692</v>
      </c>
      <c r="Q167" s="3">
        <f t="shared" si="33"/>
        <v>0.18620315851902092</v>
      </c>
      <c r="R167" s="3">
        <f t="shared" si="33"/>
        <v>0</v>
      </c>
      <c r="S167" s="3">
        <f t="shared" si="33"/>
        <v>7.5312209393000558</v>
      </c>
      <c r="T167" s="3">
        <f t="shared" si="33"/>
        <v>2.278169972669275E-7</v>
      </c>
      <c r="U167" s="3">
        <f t="shared" si="33"/>
        <v>0</v>
      </c>
      <c r="V167" s="3">
        <f t="shared" si="33"/>
        <v>5.8862701735051814E-7</v>
      </c>
      <c r="X167" s="2">
        <f>+(SUM(C167:V167)*1000000)/1000000000</f>
        <v>4.6225660965653607E-2</v>
      </c>
    </row>
    <row r="168" spans="1:24" x14ac:dyDescent="0.2">
      <c r="A168">
        <v>6005</v>
      </c>
      <c r="B168">
        <v>9</v>
      </c>
      <c r="C168" s="3">
        <f t="shared" ref="C168:V168" si="34">+(C127-C3)</f>
        <v>0</v>
      </c>
      <c r="D168" s="3">
        <f t="shared" si="34"/>
        <v>0</v>
      </c>
      <c r="E168" s="3">
        <f t="shared" si="34"/>
        <v>0</v>
      </c>
      <c r="F168" s="3">
        <f t="shared" si="34"/>
        <v>41.787528071059</v>
      </c>
      <c r="G168" s="3">
        <f t="shared" si="34"/>
        <v>0</v>
      </c>
      <c r="H168" s="3">
        <f t="shared" si="34"/>
        <v>0</v>
      </c>
      <c r="I168" s="3">
        <f t="shared" si="34"/>
        <v>1.4334856812786012E-2</v>
      </c>
      <c r="J168" s="3">
        <f t="shared" si="34"/>
        <v>0</v>
      </c>
      <c r="K168" s="3">
        <f t="shared" si="34"/>
        <v>2.5401725686110694</v>
      </c>
      <c r="L168" s="3">
        <f t="shared" si="34"/>
        <v>0</v>
      </c>
      <c r="M168" s="3">
        <f t="shared" si="34"/>
        <v>27.513182619350118</v>
      </c>
      <c r="N168" s="3">
        <f t="shared" si="34"/>
        <v>0</v>
      </c>
      <c r="O168" s="3">
        <f t="shared" si="34"/>
        <v>7.2703755747994592E-2</v>
      </c>
      <c r="P168" s="3">
        <f t="shared" si="34"/>
        <v>0.35041951917105507</v>
      </c>
      <c r="Q168" s="3">
        <f t="shared" si="34"/>
        <v>0.35787951194100742</v>
      </c>
      <c r="R168" s="3">
        <f t="shared" si="34"/>
        <v>0</v>
      </c>
      <c r="S168" s="3">
        <f t="shared" si="34"/>
        <v>22.420387611889964</v>
      </c>
      <c r="T168" s="3">
        <f t="shared" si="34"/>
        <v>1.1704401121779995</v>
      </c>
      <c r="U168" s="3">
        <f t="shared" si="34"/>
        <v>0</v>
      </c>
      <c r="V168" s="3">
        <f t="shared" si="34"/>
        <v>3.4370648918030042</v>
      </c>
      <c r="X168" s="2">
        <f t="shared" ref="X168:X204" si="35">+(SUM(C168:V168)*1000000)/1000000000</f>
        <v>9.9664113518563996E-2</v>
      </c>
    </row>
    <row r="169" spans="1:24" x14ac:dyDescent="0.2">
      <c r="A169">
        <v>6005</v>
      </c>
      <c r="B169">
        <v>10</v>
      </c>
      <c r="C169" s="3">
        <f t="shared" ref="C169:V169" si="36">+(C128-C4)</f>
        <v>0</v>
      </c>
      <c r="D169" s="3">
        <f t="shared" si="36"/>
        <v>0</v>
      </c>
      <c r="E169" s="3">
        <f t="shared" si="36"/>
        <v>0</v>
      </c>
      <c r="F169" s="3">
        <f t="shared" si="36"/>
        <v>62.398220500348899</v>
      </c>
      <c r="G169" s="3">
        <f t="shared" si="36"/>
        <v>0</v>
      </c>
      <c r="H169" s="3">
        <f t="shared" si="36"/>
        <v>0</v>
      </c>
      <c r="I169" s="3">
        <f t="shared" si="36"/>
        <v>2.2479668333257985E-2</v>
      </c>
      <c r="J169" s="3">
        <f t="shared" si="36"/>
        <v>0</v>
      </c>
      <c r="K169" s="3">
        <f t="shared" si="36"/>
        <v>3.7998927263599853</v>
      </c>
      <c r="L169" s="3">
        <f t="shared" si="36"/>
        <v>0</v>
      </c>
      <c r="M169" s="3">
        <f t="shared" si="36"/>
        <v>49.002953815360343</v>
      </c>
      <c r="N169" s="3">
        <f t="shared" si="36"/>
        <v>0</v>
      </c>
      <c r="O169" s="3">
        <f t="shared" si="36"/>
        <v>0.10871421278798721</v>
      </c>
      <c r="P169" s="3">
        <f t="shared" si="36"/>
        <v>0.52419926052596111</v>
      </c>
      <c r="Q169" s="3">
        <f t="shared" si="36"/>
        <v>1.7475253148119947</v>
      </c>
      <c r="R169" s="3">
        <f t="shared" si="36"/>
        <v>0</v>
      </c>
      <c r="S169" s="3">
        <f t="shared" si="36"/>
        <v>33.53908662008962</v>
      </c>
      <c r="T169" s="3">
        <f t="shared" si="36"/>
        <v>2.1466548001439918</v>
      </c>
      <c r="U169" s="3">
        <f t="shared" si="36"/>
        <v>0</v>
      </c>
      <c r="V169" s="3">
        <f t="shared" si="36"/>
        <v>5.0241374607940088</v>
      </c>
      <c r="X169" s="2">
        <f t="shared" si="35"/>
        <v>0.15831386437955602</v>
      </c>
    </row>
    <row r="170" spans="1:24" x14ac:dyDescent="0.2">
      <c r="A170">
        <v>6005</v>
      </c>
      <c r="B170">
        <v>11</v>
      </c>
      <c r="C170" s="3">
        <f t="shared" ref="C170:V170" si="37">+(C129-C5)</f>
        <v>0</v>
      </c>
      <c r="D170" s="3">
        <f t="shared" si="37"/>
        <v>6.2294340552750702</v>
      </c>
      <c r="E170" s="3">
        <f t="shared" si="37"/>
        <v>0</v>
      </c>
      <c r="F170" s="3">
        <f t="shared" si="37"/>
        <v>111.638015569535</v>
      </c>
      <c r="G170" s="3">
        <f t="shared" si="37"/>
        <v>0</v>
      </c>
      <c r="H170" s="3">
        <f t="shared" si="37"/>
        <v>0</v>
      </c>
      <c r="I170" s="3">
        <f t="shared" si="37"/>
        <v>2.4068788481947601</v>
      </c>
      <c r="J170" s="3">
        <f t="shared" si="37"/>
        <v>-91.401173330634791</v>
      </c>
      <c r="K170" s="3">
        <f t="shared" si="37"/>
        <v>-4.7644612618579458</v>
      </c>
      <c r="L170" s="3">
        <f t="shared" si="37"/>
        <v>0</v>
      </c>
      <c r="M170" s="3">
        <f t="shared" si="37"/>
        <v>-59.551943162669886</v>
      </c>
      <c r="N170" s="3">
        <f t="shared" si="37"/>
        <v>0</v>
      </c>
      <c r="O170" s="3">
        <f t="shared" si="37"/>
        <v>-12.549766422577207</v>
      </c>
      <c r="P170" s="3">
        <f t="shared" si="37"/>
        <v>0.41598316664601498</v>
      </c>
      <c r="Q170" s="3">
        <f t="shared" si="37"/>
        <v>1.6370054759630079</v>
      </c>
      <c r="R170" s="3">
        <f t="shared" si="37"/>
        <v>0</v>
      </c>
      <c r="S170" s="3">
        <f t="shared" si="37"/>
        <v>-42.05268160623973</v>
      </c>
      <c r="T170" s="3">
        <f t="shared" si="37"/>
        <v>22.977081179429007</v>
      </c>
      <c r="U170" s="3">
        <f t="shared" si="37"/>
        <v>0</v>
      </c>
      <c r="V170" s="3">
        <f t="shared" si="37"/>
        <v>92.091480238132021</v>
      </c>
      <c r="X170" s="2">
        <f t="shared" si="35"/>
        <v>2.7075852749195318E-2</v>
      </c>
    </row>
    <row r="171" spans="1:24" x14ac:dyDescent="0.2">
      <c r="A171">
        <v>6005</v>
      </c>
      <c r="B171">
        <v>12</v>
      </c>
      <c r="C171" s="3">
        <f t="shared" ref="C171:V171" si="38">+(C130-C6)</f>
        <v>0</v>
      </c>
      <c r="D171" s="3">
        <f t="shared" si="38"/>
        <v>17.559824588325199</v>
      </c>
      <c r="E171" s="3">
        <f t="shared" si="38"/>
        <v>0</v>
      </c>
      <c r="F171" s="3">
        <f t="shared" si="38"/>
        <v>152.95531417725201</v>
      </c>
      <c r="G171" s="3">
        <f t="shared" si="38"/>
        <v>0</v>
      </c>
      <c r="H171" s="3">
        <f t="shared" si="38"/>
        <v>0</v>
      </c>
      <c r="I171" s="3">
        <f t="shared" si="38"/>
        <v>5.1399073363115404</v>
      </c>
      <c r="J171" s="3">
        <f t="shared" si="38"/>
        <v>0.52352317106800683</v>
      </c>
      <c r="K171" s="3">
        <f t="shared" si="38"/>
        <v>-13.388085290225035</v>
      </c>
      <c r="L171" s="3">
        <f t="shared" si="38"/>
        <v>0</v>
      </c>
      <c r="M171" s="3">
        <f t="shared" si="38"/>
        <v>-197.75274831330989</v>
      </c>
      <c r="N171" s="3">
        <f t="shared" si="38"/>
        <v>0</v>
      </c>
      <c r="O171" s="3">
        <f t="shared" si="38"/>
        <v>-3.5219703502248052</v>
      </c>
      <c r="P171" s="3">
        <f t="shared" si="38"/>
        <v>0.41598316664601498</v>
      </c>
      <c r="Q171" s="3">
        <f t="shared" si="38"/>
        <v>1.6370054759630079</v>
      </c>
      <c r="R171" s="3">
        <f t="shared" si="38"/>
        <v>0</v>
      </c>
      <c r="S171" s="3">
        <f t="shared" si="38"/>
        <v>-118.16758644555011</v>
      </c>
      <c r="T171" s="3">
        <f t="shared" si="38"/>
        <v>44.421131279319994</v>
      </c>
      <c r="U171" s="3">
        <f t="shared" si="38"/>
        <v>0</v>
      </c>
      <c r="V171" s="3">
        <f t="shared" si="38"/>
        <v>115.331271983813</v>
      </c>
      <c r="X171" s="2">
        <f t="shared" si="35"/>
        <v>5.1535707793889428E-3</v>
      </c>
    </row>
    <row r="172" spans="1:24" x14ac:dyDescent="0.2">
      <c r="A172">
        <v>6005</v>
      </c>
      <c r="B172">
        <v>13</v>
      </c>
      <c r="C172" s="3">
        <f t="shared" ref="C172:V172" si="39">+(C131-C7)</f>
        <v>0</v>
      </c>
      <c r="D172" s="3">
        <f t="shared" si="39"/>
        <v>33.194948462436599</v>
      </c>
      <c r="E172" s="3">
        <f t="shared" si="39"/>
        <v>0</v>
      </c>
      <c r="F172" s="3">
        <f t="shared" si="39"/>
        <v>187.231156678486</v>
      </c>
      <c r="G172" s="3">
        <f t="shared" si="39"/>
        <v>0</v>
      </c>
      <c r="H172" s="3">
        <f t="shared" si="39"/>
        <v>0</v>
      </c>
      <c r="I172" s="3">
        <f t="shared" si="39"/>
        <v>8.7135641683457301</v>
      </c>
      <c r="J172" s="3">
        <f t="shared" si="39"/>
        <v>0</v>
      </c>
      <c r="K172" s="3">
        <f t="shared" si="39"/>
        <v>-22.098462562407008</v>
      </c>
      <c r="L172" s="3">
        <f t="shared" si="39"/>
        <v>0</v>
      </c>
      <c r="M172" s="3">
        <f t="shared" si="39"/>
        <v>-334.17684616127053</v>
      </c>
      <c r="N172" s="3">
        <f t="shared" si="39"/>
        <v>0</v>
      </c>
      <c r="O172" s="3">
        <f t="shared" si="39"/>
        <v>-5.689505631150503</v>
      </c>
      <c r="P172" s="3">
        <f t="shared" si="39"/>
        <v>0.4159831666449918</v>
      </c>
      <c r="Q172" s="3">
        <f t="shared" si="39"/>
        <v>1.6370054759630079</v>
      </c>
      <c r="R172" s="3">
        <f t="shared" si="39"/>
        <v>0</v>
      </c>
      <c r="S172" s="3">
        <f t="shared" si="39"/>
        <v>-195.04820357423023</v>
      </c>
      <c r="T172" s="3">
        <f t="shared" si="39"/>
        <v>64.85209756918799</v>
      </c>
      <c r="U172" s="3">
        <f t="shared" si="39"/>
        <v>0</v>
      </c>
      <c r="V172" s="3">
        <f t="shared" si="39"/>
        <v>167.54624054594103</v>
      </c>
      <c r="X172" s="2">
        <f t="shared" si="35"/>
        <v>-9.3422021862052937E-2</v>
      </c>
    </row>
    <row r="173" spans="1:24" x14ac:dyDescent="0.2">
      <c r="A173">
        <v>6005</v>
      </c>
      <c r="B173">
        <v>14</v>
      </c>
      <c r="C173" s="3">
        <f t="shared" ref="C173:V173" si="40">+(C132-C8)</f>
        <v>0</v>
      </c>
      <c r="D173" s="3">
        <f t="shared" si="40"/>
        <v>58.249141770172997</v>
      </c>
      <c r="E173" s="3">
        <f t="shared" si="40"/>
        <v>0</v>
      </c>
      <c r="F173" s="3">
        <f t="shared" si="40"/>
        <v>201.69144246273549</v>
      </c>
      <c r="G173" s="3">
        <f t="shared" si="40"/>
        <v>0</v>
      </c>
      <c r="H173" s="3">
        <f t="shared" si="40"/>
        <v>0</v>
      </c>
      <c r="I173" s="3">
        <f t="shared" si="40"/>
        <v>13.858513777627959</v>
      </c>
      <c r="J173" s="3">
        <f t="shared" si="40"/>
        <v>0</v>
      </c>
      <c r="K173" s="3">
        <f t="shared" si="40"/>
        <v>-31.519834533154949</v>
      </c>
      <c r="L173" s="3">
        <f t="shared" si="40"/>
        <v>0</v>
      </c>
      <c r="M173" s="3">
        <f t="shared" si="40"/>
        <v>-459.67493792257983</v>
      </c>
      <c r="N173" s="3">
        <f t="shared" si="40"/>
        <v>0</v>
      </c>
      <c r="O173" s="3">
        <f t="shared" si="40"/>
        <v>-6.4334930506922987</v>
      </c>
      <c r="P173" s="3">
        <f t="shared" si="40"/>
        <v>0.41598316664601498</v>
      </c>
      <c r="Q173" s="3">
        <f t="shared" si="40"/>
        <v>1.6370054759630079</v>
      </c>
      <c r="R173" s="3">
        <f t="shared" si="40"/>
        <v>0</v>
      </c>
      <c r="S173" s="3">
        <f t="shared" si="40"/>
        <v>-278.20429069607007</v>
      </c>
      <c r="T173" s="3">
        <f t="shared" si="40"/>
        <v>85.192480635116013</v>
      </c>
      <c r="U173" s="3">
        <f t="shared" si="40"/>
        <v>0</v>
      </c>
      <c r="V173" s="3">
        <f t="shared" si="40"/>
        <v>218.49714888952406</v>
      </c>
      <c r="X173" s="2">
        <f t="shared" si="35"/>
        <v>-0.19629084002471167</v>
      </c>
    </row>
    <row r="174" spans="1:24" x14ac:dyDescent="0.2">
      <c r="A174">
        <v>6005</v>
      </c>
      <c r="B174">
        <v>15</v>
      </c>
      <c r="C174" s="3">
        <f t="shared" ref="C174:V174" si="41">+(C133-C9)</f>
        <v>0</v>
      </c>
      <c r="D174" s="3">
        <f t="shared" si="41"/>
        <v>88.3265964897044</v>
      </c>
      <c r="E174" s="3">
        <f t="shared" si="41"/>
        <v>0</v>
      </c>
      <c r="F174" s="3">
        <f t="shared" si="41"/>
        <v>206.86184166300089</v>
      </c>
      <c r="G174" s="3">
        <f t="shared" si="41"/>
        <v>0</v>
      </c>
      <c r="H174" s="3">
        <f t="shared" si="41"/>
        <v>0</v>
      </c>
      <c r="I174" s="3">
        <f t="shared" si="41"/>
        <v>19.717496083602171</v>
      </c>
      <c r="J174" s="3">
        <f t="shared" si="41"/>
        <v>0</v>
      </c>
      <c r="K174" s="3">
        <f t="shared" si="41"/>
        <v>-41.296832290334009</v>
      </c>
      <c r="L174" s="3">
        <f t="shared" si="41"/>
        <v>0</v>
      </c>
      <c r="M174" s="3">
        <f t="shared" si="41"/>
        <v>-576.63127506151022</v>
      </c>
      <c r="N174" s="3">
        <f t="shared" si="41"/>
        <v>0</v>
      </c>
      <c r="O174" s="3">
        <f t="shared" si="41"/>
        <v>-7.2169808784792053</v>
      </c>
      <c r="P174" s="3">
        <f t="shared" si="41"/>
        <v>0.4159831666449918</v>
      </c>
      <c r="Q174" s="3">
        <f t="shared" si="41"/>
        <v>1.6370054759630079</v>
      </c>
      <c r="R174" s="3">
        <f t="shared" si="41"/>
        <v>0</v>
      </c>
      <c r="S174" s="3">
        <f t="shared" si="41"/>
        <v>-364.49924644250996</v>
      </c>
      <c r="T174" s="3">
        <f t="shared" si="41"/>
        <v>126.829918684719</v>
      </c>
      <c r="U174" s="3">
        <f t="shared" si="41"/>
        <v>0</v>
      </c>
      <c r="V174" s="3">
        <f t="shared" si="41"/>
        <v>213.50666711777995</v>
      </c>
      <c r="X174" s="2">
        <f t="shared" si="35"/>
        <v>-0.33234882599141891</v>
      </c>
    </row>
    <row r="175" spans="1:24" x14ac:dyDescent="0.2">
      <c r="A175">
        <v>6005</v>
      </c>
      <c r="B175">
        <v>16</v>
      </c>
      <c r="C175" s="3">
        <f t="shared" ref="C175:V175" si="42">+(C134-C10)</f>
        <v>0</v>
      </c>
      <c r="D175" s="3">
        <f t="shared" si="42"/>
        <v>122.362808479707</v>
      </c>
      <c r="E175" s="3">
        <f t="shared" si="42"/>
        <v>0</v>
      </c>
      <c r="F175" s="3">
        <f t="shared" si="42"/>
        <v>203.59272916576001</v>
      </c>
      <c r="G175" s="3">
        <f t="shared" si="42"/>
        <v>0</v>
      </c>
      <c r="H175" s="3">
        <f t="shared" si="42"/>
        <v>0</v>
      </c>
      <c r="I175" s="3">
        <f t="shared" si="42"/>
        <v>26.323201053387542</v>
      </c>
      <c r="J175" s="3">
        <f t="shared" si="42"/>
        <v>0</v>
      </c>
      <c r="K175" s="3">
        <f t="shared" si="42"/>
        <v>-51.531750991562035</v>
      </c>
      <c r="L175" s="3">
        <f t="shared" si="42"/>
        <v>0</v>
      </c>
      <c r="M175" s="3">
        <f t="shared" si="42"/>
        <v>-711.14810619132004</v>
      </c>
      <c r="N175" s="3">
        <f t="shared" si="42"/>
        <v>0</v>
      </c>
      <c r="O175" s="3">
        <f t="shared" si="42"/>
        <v>-9.9903747454982934</v>
      </c>
      <c r="P175" s="3">
        <f t="shared" si="42"/>
        <v>0.4159831666449918</v>
      </c>
      <c r="Q175" s="3">
        <f t="shared" si="42"/>
        <v>1.6370054759630079</v>
      </c>
      <c r="R175" s="3">
        <f t="shared" si="42"/>
        <v>0</v>
      </c>
      <c r="S175" s="3">
        <f t="shared" si="42"/>
        <v>-454.8359610788898</v>
      </c>
      <c r="T175" s="3">
        <f t="shared" si="42"/>
        <v>168.25077709633103</v>
      </c>
      <c r="U175" s="3">
        <f t="shared" si="42"/>
        <v>0</v>
      </c>
      <c r="V175" s="3">
        <f t="shared" si="42"/>
        <v>208.63016809375802</v>
      </c>
      <c r="X175" s="2">
        <f t="shared" si="35"/>
        <v>-0.49629352047571856</v>
      </c>
    </row>
    <row r="176" spans="1:24" x14ac:dyDescent="0.2">
      <c r="A176">
        <v>6005</v>
      </c>
      <c r="B176">
        <v>17</v>
      </c>
      <c r="C176" s="3">
        <f t="shared" ref="C176:V176" si="43">+(C135-C11)</f>
        <v>0</v>
      </c>
      <c r="D176" s="3">
        <f t="shared" si="43"/>
        <v>159.56329889469399</v>
      </c>
      <c r="E176" s="3">
        <f t="shared" si="43"/>
        <v>0</v>
      </c>
      <c r="F176" s="3">
        <f t="shared" si="43"/>
        <v>193.104462909647</v>
      </c>
      <c r="G176" s="3">
        <f t="shared" si="43"/>
        <v>0</v>
      </c>
      <c r="H176" s="3">
        <f t="shared" si="43"/>
        <v>0</v>
      </c>
      <c r="I176" s="3">
        <f t="shared" si="43"/>
        <v>33.716954175098031</v>
      </c>
      <c r="J176" s="3">
        <f t="shared" si="43"/>
        <v>0</v>
      </c>
      <c r="K176" s="3">
        <f t="shared" si="43"/>
        <v>-62.259663528775036</v>
      </c>
      <c r="L176" s="3">
        <f t="shared" si="43"/>
        <v>0</v>
      </c>
      <c r="M176" s="3">
        <f t="shared" si="43"/>
        <v>-855.44328525374976</v>
      </c>
      <c r="N176" s="3">
        <f t="shared" si="43"/>
        <v>0</v>
      </c>
      <c r="O176" s="3">
        <f t="shared" si="43"/>
        <v>-10.779720493239097</v>
      </c>
      <c r="P176" s="3">
        <f t="shared" si="43"/>
        <v>0.4159831666449918</v>
      </c>
      <c r="Q176" s="3">
        <f t="shared" si="43"/>
        <v>1.6370054759630079</v>
      </c>
      <c r="R176" s="3">
        <f t="shared" si="43"/>
        <v>0</v>
      </c>
      <c r="S176" s="3">
        <f t="shared" si="43"/>
        <v>-549.52399933378001</v>
      </c>
      <c r="T176" s="3">
        <f t="shared" si="43"/>
        <v>159.81332072095302</v>
      </c>
      <c r="U176" s="3">
        <f t="shared" si="43"/>
        <v>0</v>
      </c>
      <c r="V176" s="3">
        <f t="shared" si="43"/>
        <v>326.58148542355696</v>
      </c>
      <c r="X176" s="2">
        <f t="shared" si="35"/>
        <v>-0.60317415784298678</v>
      </c>
    </row>
    <row r="177" spans="1:24" x14ac:dyDescent="0.2">
      <c r="A177">
        <v>6005</v>
      </c>
      <c r="B177">
        <v>18</v>
      </c>
      <c r="C177" s="3">
        <f t="shared" ref="C177:V177" si="44">+(C136-C12)</f>
        <v>0</v>
      </c>
      <c r="D177" s="3">
        <f t="shared" si="44"/>
        <v>199.27532381440699</v>
      </c>
      <c r="E177" s="3">
        <f t="shared" si="44"/>
        <v>0</v>
      </c>
      <c r="F177" s="3">
        <f t="shared" si="44"/>
        <v>176.44166962352401</v>
      </c>
      <c r="G177" s="3">
        <f t="shared" si="44"/>
        <v>0</v>
      </c>
      <c r="H177" s="3">
        <f t="shared" si="44"/>
        <v>0</v>
      </c>
      <c r="I177" s="3">
        <f t="shared" si="44"/>
        <v>41.928907435894409</v>
      </c>
      <c r="J177" s="3">
        <f t="shared" si="44"/>
        <v>0</v>
      </c>
      <c r="K177" s="3">
        <f t="shared" si="44"/>
        <v>-73.547804886391987</v>
      </c>
      <c r="L177" s="3">
        <f t="shared" si="44"/>
        <v>0</v>
      </c>
      <c r="M177" s="3">
        <f t="shared" si="44"/>
        <v>-1031.15687026462</v>
      </c>
      <c r="N177" s="3">
        <f t="shared" si="44"/>
        <v>0</v>
      </c>
      <c r="O177" s="3">
        <f t="shared" si="44"/>
        <v>-11.873618760039406</v>
      </c>
      <c r="P177" s="3">
        <f t="shared" si="44"/>
        <v>0.41598316664590129</v>
      </c>
      <c r="Q177" s="3">
        <f t="shared" si="44"/>
        <v>1.6370054759630079</v>
      </c>
      <c r="R177" s="3">
        <f t="shared" si="44"/>
        <v>0</v>
      </c>
      <c r="S177" s="3">
        <f t="shared" si="44"/>
        <v>-649.1567990038202</v>
      </c>
      <c r="T177" s="3">
        <f t="shared" si="44"/>
        <v>150.15713774902201</v>
      </c>
      <c r="U177" s="3">
        <f t="shared" si="44"/>
        <v>0</v>
      </c>
      <c r="V177" s="3">
        <f t="shared" si="44"/>
        <v>450.49236335663801</v>
      </c>
      <c r="X177" s="2">
        <f t="shared" si="35"/>
        <v>-0.74538670229277726</v>
      </c>
    </row>
    <row r="178" spans="1:24" x14ac:dyDescent="0.2">
      <c r="A178">
        <v>6005</v>
      </c>
      <c r="B178">
        <v>19</v>
      </c>
      <c r="C178" s="3">
        <f t="shared" ref="C178:V178" si="45">+(C137-C13)</f>
        <v>0</v>
      </c>
      <c r="D178" s="3">
        <f t="shared" si="45"/>
        <v>240.954233547863</v>
      </c>
      <c r="E178" s="3">
        <f t="shared" si="45"/>
        <v>0</v>
      </c>
      <c r="F178" s="3">
        <f t="shared" si="45"/>
        <v>154.48048404209399</v>
      </c>
      <c r="G178" s="3">
        <f t="shared" si="45"/>
        <v>0</v>
      </c>
      <c r="H178" s="3">
        <f t="shared" si="45"/>
        <v>0</v>
      </c>
      <c r="I178" s="3">
        <f t="shared" si="45"/>
        <v>50.985307416980618</v>
      </c>
      <c r="J178" s="3">
        <f t="shared" si="45"/>
        <v>0</v>
      </c>
      <c r="K178" s="3">
        <f t="shared" si="45"/>
        <v>-85.419121971082063</v>
      </c>
      <c r="L178" s="3">
        <f t="shared" si="45"/>
        <v>0</v>
      </c>
      <c r="M178" s="3">
        <f t="shared" si="45"/>
        <v>-1203.5884349135404</v>
      </c>
      <c r="N178" s="3">
        <f t="shared" si="45"/>
        <v>0</v>
      </c>
      <c r="O178" s="3">
        <f t="shared" si="45"/>
        <v>-12.540406261466707</v>
      </c>
      <c r="P178" s="3">
        <f t="shared" si="45"/>
        <v>0.4159831666449918</v>
      </c>
      <c r="Q178" s="3">
        <f t="shared" si="45"/>
        <v>1.6370054759630079</v>
      </c>
      <c r="R178" s="3">
        <f t="shared" si="45"/>
        <v>0</v>
      </c>
      <c r="S178" s="3">
        <f t="shared" si="45"/>
        <v>-753.93689693552005</v>
      </c>
      <c r="T178" s="3">
        <f t="shared" si="45"/>
        <v>171.03677215917602</v>
      </c>
      <c r="U178" s="3">
        <f t="shared" si="45"/>
        <v>0</v>
      </c>
      <c r="V178" s="3">
        <f t="shared" si="45"/>
        <v>493.433318448725</v>
      </c>
      <c r="X178" s="2">
        <f t="shared" si="35"/>
        <v>-0.94254175582416244</v>
      </c>
    </row>
    <row r="179" spans="1:24" x14ac:dyDescent="0.2">
      <c r="A179">
        <v>6005</v>
      </c>
      <c r="B179">
        <v>20</v>
      </c>
      <c r="C179" s="3">
        <f t="shared" ref="C179:V179" si="46">+(C138-C14)</f>
        <v>0</v>
      </c>
      <c r="D179" s="3">
        <f t="shared" si="46"/>
        <v>284.14275794636399</v>
      </c>
      <c r="E179" s="3">
        <f t="shared" si="46"/>
        <v>0</v>
      </c>
      <c r="F179" s="3">
        <f t="shared" si="46"/>
        <v>127.95887473757099</v>
      </c>
      <c r="G179" s="3">
        <f t="shared" si="46"/>
        <v>0</v>
      </c>
      <c r="H179" s="3">
        <f t="shared" si="46"/>
        <v>0</v>
      </c>
      <c r="I179" s="3">
        <f t="shared" si="46"/>
        <v>60.909941672352531</v>
      </c>
      <c r="J179" s="3">
        <f t="shared" si="46"/>
        <v>0</v>
      </c>
      <c r="K179" s="3">
        <f t="shared" si="46"/>
        <v>-97.922770730538105</v>
      </c>
      <c r="L179" s="3">
        <f t="shared" si="46"/>
        <v>0</v>
      </c>
      <c r="M179" s="3">
        <f t="shared" si="46"/>
        <v>-1414.8906268195396</v>
      </c>
      <c r="N179" s="3">
        <f t="shared" si="46"/>
        <v>0</v>
      </c>
      <c r="O179" s="3">
        <f t="shared" si="46"/>
        <v>-13.624068288290893</v>
      </c>
      <c r="P179" s="3">
        <f t="shared" si="46"/>
        <v>0.4159831666449918</v>
      </c>
      <c r="Q179" s="3">
        <f t="shared" si="46"/>
        <v>1.6370054759630079</v>
      </c>
      <c r="R179" s="3">
        <f t="shared" si="46"/>
        <v>0</v>
      </c>
      <c r="S179" s="3">
        <f t="shared" si="46"/>
        <v>-864.29815947890006</v>
      </c>
      <c r="T179" s="3">
        <f t="shared" si="46"/>
        <v>190.761574219496</v>
      </c>
      <c r="U179" s="3">
        <f t="shared" si="46"/>
        <v>0</v>
      </c>
      <c r="V179" s="3">
        <f t="shared" si="46"/>
        <v>551.61169300418396</v>
      </c>
      <c r="X179" s="2">
        <f t="shared" si="35"/>
        <v>-1.1732977950946932</v>
      </c>
    </row>
    <row r="180" spans="1:24" x14ac:dyDescent="0.2">
      <c r="A180">
        <v>6005</v>
      </c>
      <c r="B180">
        <v>21</v>
      </c>
      <c r="C180" s="3">
        <f t="shared" ref="C180:V180" si="47">+(C139-C15)</f>
        <v>0</v>
      </c>
      <c r="D180" s="3">
        <f t="shared" si="47"/>
        <v>328.456266422954</v>
      </c>
      <c r="E180" s="3">
        <f t="shared" si="47"/>
        <v>0</v>
      </c>
      <c r="F180" s="3">
        <f t="shared" si="47"/>
        <v>97.503094566937989</v>
      </c>
      <c r="G180" s="3">
        <f t="shared" si="47"/>
        <v>0</v>
      </c>
      <c r="H180" s="3">
        <f t="shared" si="47"/>
        <v>0</v>
      </c>
      <c r="I180" s="3">
        <f t="shared" si="47"/>
        <v>71.700133182376291</v>
      </c>
      <c r="J180" s="3">
        <f t="shared" si="47"/>
        <v>0</v>
      </c>
      <c r="K180" s="3">
        <f t="shared" si="47"/>
        <v>-111.08214021693402</v>
      </c>
      <c r="L180" s="3">
        <f t="shared" si="47"/>
        <v>0</v>
      </c>
      <c r="M180" s="3">
        <f t="shared" si="47"/>
        <v>-1611.9441901516102</v>
      </c>
      <c r="N180" s="3">
        <f t="shared" si="47"/>
        <v>0</v>
      </c>
      <c r="O180" s="3">
        <f t="shared" si="47"/>
        <v>-14.554593787880599</v>
      </c>
      <c r="P180" s="3">
        <f t="shared" si="47"/>
        <v>0.4159831666449918</v>
      </c>
      <c r="Q180" s="3">
        <f t="shared" si="47"/>
        <v>1.6370054759630079</v>
      </c>
      <c r="R180" s="3">
        <f t="shared" si="47"/>
        <v>0</v>
      </c>
      <c r="S180" s="3">
        <f t="shared" si="47"/>
        <v>-980.44702600037976</v>
      </c>
      <c r="T180" s="3">
        <f t="shared" si="47"/>
        <v>211.03647060972202</v>
      </c>
      <c r="U180" s="3">
        <f t="shared" si="47"/>
        <v>0</v>
      </c>
      <c r="V180" s="3">
        <f t="shared" si="47"/>
        <v>606.945973319009</v>
      </c>
      <c r="X180" s="2">
        <f t="shared" si="35"/>
        <v>-1.4003330234131974</v>
      </c>
    </row>
    <row r="181" spans="1:24" x14ac:dyDescent="0.2">
      <c r="A181">
        <v>6005</v>
      </c>
      <c r="B181">
        <v>22</v>
      </c>
      <c r="C181" s="3">
        <f t="shared" ref="C181:V181" si="48">+(C140-C16)</f>
        <v>0</v>
      </c>
      <c r="D181" s="3">
        <f t="shared" si="48"/>
        <v>373.56481015576901</v>
      </c>
      <c r="E181" s="3">
        <f t="shared" si="48"/>
        <v>0</v>
      </c>
      <c r="F181" s="3">
        <f t="shared" si="48"/>
        <v>63.641266651161004</v>
      </c>
      <c r="G181" s="3">
        <f t="shared" si="48"/>
        <v>0</v>
      </c>
      <c r="H181" s="3">
        <f t="shared" si="48"/>
        <v>0</v>
      </c>
      <c r="I181" s="3">
        <f t="shared" si="48"/>
        <v>83.394929099186612</v>
      </c>
      <c r="J181" s="3">
        <f t="shared" si="48"/>
        <v>0</v>
      </c>
      <c r="K181" s="3">
        <f t="shared" si="48"/>
        <v>-124.96173752715606</v>
      </c>
      <c r="L181" s="3">
        <f t="shared" si="48"/>
        <v>0</v>
      </c>
      <c r="M181" s="3">
        <f t="shared" si="48"/>
        <v>-1835.8857747591601</v>
      </c>
      <c r="N181" s="3">
        <f t="shared" si="48"/>
        <v>0</v>
      </c>
      <c r="O181" s="3">
        <f t="shared" si="48"/>
        <v>-15.679590617076499</v>
      </c>
      <c r="P181" s="3">
        <f t="shared" si="48"/>
        <v>0.41598316664601498</v>
      </c>
      <c r="Q181" s="3">
        <f t="shared" si="48"/>
        <v>1.6370054759630079</v>
      </c>
      <c r="R181" s="3">
        <f t="shared" si="48"/>
        <v>0</v>
      </c>
      <c r="S181" s="3">
        <f t="shared" si="48"/>
        <v>-1102.9528570755999</v>
      </c>
      <c r="T181" s="3">
        <f t="shared" si="48"/>
        <v>231.62411054502897</v>
      </c>
      <c r="U181" s="3">
        <f t="shared" si="48"/>
        <v>0</v>
      </c>
      <c r="V181" s="3">
        <f t="shared" si="48"/>
        <v>665.28026832039404</v>
      </c>
      <c r="X181" s="2">
        <f t="shared" si="35"/>
        <v>-1.6599215865648438</v>
      </c>
    </row>
    <row r="182" spans="1:24" x14ac:dyDescent="0.2">
      <c r="A182">
        <v>6005</v>
      </c>
      <c r="B182">
        <v>23</v>
      </c>
      <c r="C182" s="3">
        <f t="shared" ref="C182:V182" si="49">+(C141-C17)</f>
        <v>0</v>
      </c>
      <c r="D182" s="3">
        <f t="shared" si="49"/>
        <v>419.18622414969201</v>
      </c>
      <c r="E182" s="3">
        <f t="shared" si="49"/>
        <v>0</v>
      </c>
      <c r="F182" s="3">
        <f t="shared" si="49"/>
        <v>29.101883064815979</v>
      </c>
      <c r="G182" s="3">
        <f t="shared" si="49"/>
        <v>0</v>
      </c>
      <c r="H182" s="3">
        <f t="shared" si="49"/>
        <v>0</v>
      </c>
      <c r="I182" s="3">
        <f t="shared" si="49"/>
        <v>94.339259848074505</v>
      </c>
      <c r="J182" s="3">
        <f t="shared" si="49"/>
        <v>0</v>
      </c>
      <c r="K182" s="3">
        <f t="shared" si="49"/>
        <v>-139.59719237036001</v>
      </c>
      <c r="L182" s="3">
        <f t="shared" si="49"/>
        <v>0</v>
      </c>
      <c r="M182" s="3">
        <f t="shared" si="49"/>
        <v>-2079.84015537508</v>
      </c>
      <c r="N182" s="3">
        <f t="shared" si="49"/>
        <v>0</v>
      </c>
      <c r="O182" s="3">
        <f t="shared" si="49"/>
        <v>-17.074515337091505</v>
      </c>
      <c r="P182" s="3">
        <f t="shared" si="49"/>
        <v>0.41598316664601498</v>
      </c>
      <c r="Q182" s="3">
        <f t="shared" si="49"/>
        <v>1.6370054759630079</v>
      </c>
      <c r="R182" s="3">
        <f t="shared" si="49"/>
        <v>0</v>
      </c>
      <c r="S182" s="3">
        <f t="shared" si="49"/>
        <v>-1234.11059950766</v>
      </c>
      <c r="T182" s="3">
        <f t="shared" si="49"/>
        <v>252.08033477062301</v>
      </c>
      <c r="U182" s="3">
        <f t="shared" si="49"/>
        <v>0</v>
      </c>
      <c r="V182" s="3">
        <f t="shared" si="49"/>
        <v>748.29486501312908</v>
      </c>
      <c r="X182" s="2">
        <f t="shared" si="35"/>
        <v>-1.9255669071012478</v>
      </c>
    </row>
    <row r="183" spans="1:24" x14ac:dyDescent="0.2">
      <c r="A183">
        <v>6005</v>
      </c>
      <c r="B183">
        <v>24</v>
      </c>
      <c r="C183" s="3">
        <f t="shared" ref="C183:V183" si="50">+(C142-C18)</f>
        <v>0</v>
      </c>
      <c r="D183" s="3">
        <f t="shared" si="50"/>
        <v>465.05316732637698</v>
      </c>
      <c r="E183" s="3">
        <f t="shared" si="50"/>
        <v>0</v>
      </c>
      <c r="F183" s="3">
        <f t="shared" si="50"/>
        <v>-5.267169284598026</v>
      </c>
      <c r="G183" s="3">
        <f t="shared" si="50"/>
        <v>0</v>
      </c>
      <c r="H183" s="3">
        <f t="shared" si="50"/>
        <v>0</v>
      </c>
      <c r="I183" s="3">
        <f t="shared" si="50"/>
        <v>105.9175217324304</v>
      </c>
      <c r="J183" s="3">
        <f t="shared" si="50"/>
        <v>0</v>
      </c>
      <c r="K183" s="3">
        <f t="shared" si="50"/>
        <v>-155.03180778414094</v>
      </c>
      <c r="L183" s="3">
        <f t="shared" si="50"/>
        <v>0</v>
      </c>
      <c r="M183" s="3">
        <f t="shared" si="50"/>
        <v>-2302.8618983534402</v>
      </c>
      <c r="N183" s="3">
        <f t="shared" si="50"/>
        <v>0</v>
      </c>
      <c r="O183" s="3">
        <f t="shared" si="50"/>
        <v>-18.145790801809795</v>
      </c>
      <c r="P183" s="3">
        <f t="shared" si="50"/>
        <v>0.41598316664601498</v>
      </c>
      <c r="Q183" s="3">
        <f t="shared" si="50"/>
        <v>1.6370054759630079</v>
      </c>
      <c r="R183" s="3">
        <f t="shared" si="50"/>
        <v>0</v>
      </c>
      <c r="S183" s="3">
        <f t="shared" si="50"/>
        <v>-1372.76782251994</v>
      </c>
      <c r="T183" s="3">
        <f t="shared" si="50"/>
        <v>277.68552089725097</v>
      </c>
      <c r="U183" s="3">
        <f t="shared" si="50"/>
        <v>0</v>
      </c>
      <c r="V183" s="3">
        <f t="shared" si="50"/>
        <v>822.57947918545608</v>
      </c>
      <c r="X183" s="2">
        <f t="shared" si="35"/>
        <v>-2.1807858109598053</v>
      </c>
    </row>
    <row r="184" spans="1:24" x14ac:dyDescent="0.2">
      <c r="A184">
        <v>6005</v>
      </c>
      <c r="B184">
        <v>25</v>
      </c>
      <c r="C184" s="3">
        <f t="shared" ref="C184:V184" si="51">+(C143-C19)</f>
        <v>0</v>
      </c>
      <c r="D184" s="3">
        <f t="shared" si="51"/>
        <v>512.27039600644798</v>
      </c>
      <c r="E184" s="3">
        <f t="shared" si="51"/>
        <v>0</v>
      </c>
      <c r="F184" s="3">
        <f t="shared" si="51"/>
        <v>-39.437726249271009</v>
      </c>
      <c r="G184" s="3">
        <f t="shared" si="51"/>
        <v>0</v>
      </c>
      <c r="H184" s="3">
        <f t="shared" si="51"/>
        <v>0</v>
      </c>
      <c r="I184" s="3">
        <f t="shared" si="51"/>
        <v>119.36567925204528</v>
      </c>
      <c r="J184" s="3">
        <f t="shared" si="51"/>
        <v>0</v>
      </c>
      <c r="K184" s="3">
        <f t="shared" si="51"/>
        <v>-207.31381065564699</v>
      </c>
      <c r="L184" s="3">
        <f t="shared" si="51"/>
        <v>0</v>
      </c>
      <c r="M184" s="3">
        <f t="shared" si="51"/>
        <v>-2588.07145039434</v>
      </c>
      <c r="N184" s="3">
        <f t="shared" si="51"/>
        <v>0</v>
      </c>
      <c r="O184" s="3">
        <f t="shared" si="51"/>
        <v>-19.864903229986609</v>
      </c>
      <c r="P184" s="3">
        <f t="shared" si="51"/>
        <v>-54.308456989318984</v>
      </c>
      <c r="Q184" s="3">
        <f t="shared" si="51"/>
        <v>1.6370054759630079</v>
      </c>
      <c r="R184" s="3">
        <f t="shared" si="51"/>
        <v>0</v>
      </c>
      <c r="S184" s="3">
        <f t="shared" si="51"/>
        <v>-1539.8885180168402</v>
      </c>
      <c r="T184" s="3">
        <f t="shared" si="51"/>
        <v>297.93425123680402</v>
      </c>
      <c r="U184" s="3">
        <f t="shared" si="51"/>
        <v>0</v>
      </c>
      <c r="V184" s="3">
        <f t="shared" si="51"/>
        <v>1126.5029993774478</v>
      </c>
      <c r="X184" s="2">
        <f t="shared" si="35"/>
        <v>-2.3911745341866957</v>
      </c>
    </row>
    <row r="185" spans="1:24" x14ac:dyDescent="0.2">
      <c r="A185">
        <v>6005</v>
      </c>
      <c r="B185">
        <v>26</v>
      </c>
      <c r="C185" s="3">
        <f t="shared" ref="C185:V185" si="52">+(C144-C20)</f>
        <v>0</v>
      </c>
      <c r="D185" s="3">
        <f t="shared" si="52"/>
        <v>558.59140882496899</v>
      </c>
      <c r="E185" s="3">
        <f t="shared" si="52"/>
        <v>0</v>
      </c>
      <c r="F185" s="3">
        <f t="shared" si="52"/>
        <v>-73.220616980092018</v>
      </c>
      <c r="G185" s="3">
        <f t="shared" si="52"/>
        <v>0</v>
      </c>
      <c r="H185" s="3">
        <f t="shared" si="52"/>
        <v>0</v>
      </c>
      <c r="I185" s="3">
        <f t="shared" si="52"/>
        <v>131.4015453720107</v>
      </c>
      <c r="J185" s="3">
        <f t="shared" si="52"/>
        <v>0</v>
      </c>
      <c r="K185" s="3">
        <f t="shared" si="52"/>
        <v>-227.064396921514</v>
      </c>
      <c r="L185" s="3">
        <f t="shared" si="52"/>
        <v>0</v>
      </c>
      <c r="M185" s="3">
        <f t="shared" si="52"/>
        <v>-2855.2937200964598</v>
      </c>
      <c r="N185" s="3">
        <f t="shared" si="52"/>
        <v>0</v>
      </c>
      <c r="O185" s="3">
        <f t="shared" si="52"/>
        <v>-21.133274246794201</v>
      </c>
      <c r="P185" s="3">
        <f t="shared" si="52"/>
        <v>-70.146972033879024</v>
      </c>
      <c r="Q185" s="3">
        <f t="shared" si="52"/>
        <v>1.6370054759630079</v>
      </c>
      <c r="R185" s="3">
        <f t="shared" si="52"/>
        <v>0</v>
      </c>
      <c r="S185" s="3">
        <f t="shared" si="52"/>
        <v>-1722.9037976669401</v>
      </c>
      <c r="T185" s="3">
        <f t="shared" si="52"/>
        <v>319.84188520183301</v>
      </c>
      <c r="U185" s="3">
        <f t="shared" si="52"/>
        <v>0</v>
      </c>
      <c r="V185" s="3">
        <f t="shared" si="52"/>
        <v>1194.446629647832</v>
      </c>
      <c r="X185" s="2">
        <f t="shared" si="35"/>
        <v>-2.7638443034230713</v>
      </c>
    </row>
    <row r="186" spans="1:24" x14ac:dyDescent="0.2">
      <c r="A186">
        <v>6005</v>
      </c>
      <c r="B186">
        <v>27</v>
      </c>
      <c r="C186" s="3">
        <f t="shared" ref="C186:V186" si="53">+(C145-C21)</f>
        <v>0</v>
      </c>
      <c r="D186" s="3">
        <f t="shared" si="53"/>
        <v>604.39944178951703</v>
      </c>
      <c r="E186" s="3">
        <f t="shared" si="53"/>
        <v>0</v>
      </c>
      <c r="F186" s="3">
        <f t="shared" si="53"/>
        <v>-106.54617714099402</v>
      </c>
      <c r="G186" s="3">
        <f t="shared" si="53"/>
        <v>0</v>
      </c>
      <c r="H186" s="3">
        <f t="shared" si="53"/>
        <v>0</v>
      </c>
      <c r="I186" s="3">
        <f t="shared" si="53"/>
        <v>144.8063874322732</v>
      </c>
      <c r="J186" s="3">
        <f t="shared" si="53"/>
        <v>0</v>
      </c>
      <c r="K186" s="3">
        <f t="shared" si="53"/>
        <v>-247.65398772046697</v>
      </c>
      <c r="L186" s="3">
        <f t="shared" si="53"/>
        <v>0</v>
      </c>
      <c r="M186" s="3">
        <f t="shared" si="53"/>
        <v>-3149.0950278933801</v>
      </c>
      <c r="N186" s="3">
        <f t="shared" si="53"/>
        <v>0</v>
      </c>
      <c r="O186" s="3">
        <f t="shared" si="53"/>
        <v>-22.407666606385206</v>
      </c>
      <c r="P186" s="3">
        <f t="shared" si="53"/>
        <v>-89.216312379851047</v>
      </c>
      <c r="Q186" s="3">
        <f t="shared" si="53"/>
        <v>1.6370054759630079</v>
      </c>
      <c r="R186" s="3">
        <f t="shared" si="53"/>
        <v>0</v>
      </c>
      <c r="S186" s="3">
        <f t="shared" si="53"/>
        <v>-1880.6765081591998</v>
      </c>
      <c r="T186" s="3">
        <f t="shared" si="53"/>
        <v>341.09772433382602</v>
      </c>
      <c r="U186" s="3">
        <f t="shared" si="53"/>
        <v>0</v>
      </c>
      <c r="V186" s="3">
        <f t="shared" si="53"/>
        <v>1210.933192813839</v>
      </c>
      <c r="X186" s="2">
        <f t="shared" si="35"/>
        <v>-3.1927219280548589</v>
      </c>
    </row>
    <row r="187" spans="1:24" x14ac:dyDescent="0.2">
      <c r="A187">
        <v>6005</v>
      </c>
      <c r="B187">
        <v>28</v>
      </c>
      <c r="C187" s="3">
        <f t="shared" ref="C187:V187" si="54">+(C146-C22)</f>
        <v>0</v>
      </c>
      <c r="D187" s="3">
        <f t="shared" si="54"/>
        <v>649.410271736151</v>
      </c>
      <c r="E187" s="3">
        <f t="shared" si="54"/>
        <v>0</v>
      </c>
      <c r="F187" s="3">
        <f t="shared" si="54"/>
        <v>-139.30476188782001</v>
      </c>
      <c r="G187" s="3">
        <f t="shared" si="54"/>
        <v>0</v>
      </c>
      <c r="H187" s="3">
        <f t="shared" si="54"/>
        <v>0</v>
      </c>
      <c r="I187" s="3">
        <f t="shared" si="54"/>
        <v>159.15926793283461</v>
      </c>
      <c r="J187" s="3">
        <f t="shared" si="54"/>
        <v>0</v>
      </c>
      <c r="K187" s="3">
        <f t="shared" si="54"/>
        <v>-269.02350403821202</v>
      </c>
      <c r="L187" s="3">
        <f t="shared" si="54"/>
        <v>0</v>
      </c>
      <c r="M187" s="3">
        <f t="shared" si="54"/>
        <v>-3452.4357490629404</v>
      </c>
      <c r="N187" s="3">
        <f t="shared" si="54"/>
        <v>0</v>
      </c>
      <c r="O187" s="3">
        <f t="shared" si="54"/>
        <v>-23.677275667043297</v>
      </c>
      <c r="P187" s="3">
        <f t="shared" si="54"/>
        <v>-95.59900036000397</v>
      </c>
      <c r="Q187" s="3">
        <f t="shared" si="54"/>
        <v>1.6370054759630079</v>
      </c>
      <c r="R187" s="3">
        <f t="shared" si="54"/>
        <v>0</v>
      </c>
      <c r="S187" s="3">
        <f t="shared" si="54"/>
        <v>-2044.6800381058401</v>
      </c>
      <c r="T187" s="3">
        <f t="shared" si="54"/>
        <v>363.20669461339997</v>
      </c>
      <c r="U187" s="3">
        <f t="shared" si="54"/>
        <v>0</v>
      </c>
      <c r="V187" s="3">
        <f t="shared" si="54"/>
        <v>1179.1574817793989</v>
      </c>
      <c r="X187" s="2">
        <f t="shared" si="35"/>
        <v>-3.672149607584112</v>
      </c>
    </row>
    <row r="188" spans="1:24" x14ac:dyDescent="0.2">
      <c r="A188">
        <v>6005</v>
      </c>
      <c r="B188">
        <v>29</v>
      </c>
      <c r="C188" s="3">
        <f t="shared" ref="C188:V188" si="55">+(C147-C23)</f>
        <v>0</v>
      </c>
      <c r="D188" s="3">
        <f t="shared" si="55"/>
        <v>693.55435080299605</v>
      </c>
      <c r="E188" s="3">
        <f t="shared" si="55"/>
        <v>0</v>
      </c>
      <c r="F188" s="3">
        <f t="shared" si="55"/>
        <v>-171.456316878721</v>
      </c>
      <c r="G188" s="3">
        <f t="shared" si="55"/>
        <v>0</v>
      </c>
      <c r="H188" s="3">
        <f t="shared" si="55"/>
        <v>0</v>
      </c>
      <c r="I188" s="3">
        <f t="shared" si="55"/>
        <v>174.92980916205821</v>
      </c>
      <c r="J188" s="3">
        <f t="shared" si="55"/>
        <v>0</v>
      </c>
      <c r="K188" s="3">
        <f t="shared" si="55"/>
        <v>-331.94463161298899</v>
      </c>
      <c r="L188" s="3">
        <f t="shared" si="55"/>
        <v>0</v>
      </c>
      <c r="M188" s="3">
        <f t="shared" si="55"/>
        <v>-3770.69132169252</v>
      </c>
      <c r="N188" s="3">
        <f t="shared" si="55"/>
        <v>0</v>
      </c>
      <c r="O188" s="3">
        <f t="shared" si="55"/>
        <v>-24.943875089728003</v>
      </c>
      <c r="P188" s="3">
        <f t="shared" si="55"/>
        <v>-102.18227174370395</v>
      </c>
      <c r="Q188" s="3">
        <f t="shared" si="55"/>
        <v>4.8383419742440026</v>
      </c>
      <c r="R188" s="3">
        <f t="shared" si="55"/>
        <v>0</v>
      </c>
      <c r="S188" s="3">
        <f t="shared" si="55"/>
        <v>-2217.2604099862901</v>
      </c>
      <c r="T188" s="3">
        <f t="shared" si="55"/>
        <v>400.44248800472599</v>
      </c>
      <c r="U188" s="3">
        <f t="shared" si="55"/>
        <v>0</v>
      </c>
      <c r="V188" s="3">
        <f t="shared" si="55"/>
        <v>1190.8997931177648</v>
      </c>
      <c r="X188" s="2">
        <f t="shared" si="35"/>
        <v>-4.1538140439421634</v>
      </c>
    </row>
    <row r="189" spans="1:24" x14ac:dyDescent="0.2">
      <c r="A189">
        <v>6005</v>
      </c>
      <c r="B189">
        <v>30</v>
      </c>
      <c r="C189" s="3">
        <f t="shared" ref="C189:V189" si="56">+(C148-C24)</f>
        <v>0</v>
      </c>
      <c r="D189" s="3">
        <f t="shared" si="56"/>
        <v>736.46840625542904</v>
      </c>
      <c r="E189" s="3">
        <f t="shared" si="56"/>
        <v>0</v>
      </c>
      <c r="F189" s="3">
        <f t="shared" si="56"/>
        <v>-202.96361753518005</v>
      </c>
      <c r="G189" s="3">
        <f t="shared" si="56"/>
        <v>0</v>
      </c>
      <c r="H189" s="3">
        <f t="shared" si="56"/>
        <v>0</v>
      </c>
      <c r="I189" s="3">
        <f t="shared" si="56"/>
        <v>190.159080807626</v>
      </c>
      <c r="J189" s="3">
        <f t="shared" si="56"/>
        <v>0</v>
      </c>
      <c r="K189" s="3">
        <f t="shared" si="56"/>
        <v>-354.88042086471899</v>
      </c>
      <c r="L189" s="3">
        <f t="shared" si="56"/>
        <v>0</v>
      </c>
      <c r="M189" s="3">
        <f t="shared" si="56"/>
        <v>-4133.0174068079305</v>
      </c>
      <c r="N189" s="3">
        <f t="shared" si="56"/>
        <v>0</v>
      </c>
      <c r="O189" s="3">
        <f t="shared" si="56"/>
        <v>-26.210004746768107</v>
      </c>
      <c r="P189" s="3">
        <f t="shared" si="56"/>
        <v>-112.18503896570803</v>
      </c>
      <c r="Q189" s="3">
        <f t="shared" si="56"/>
        <v>17.895857291745003</v>
      </c>
      <c r="R189" s="3">
        <f t="shared" si="56"/>
        <v>0</v>
      </c>
      <c r="S189" s="3">
        <f t="shared" si="56"/>
        <v>-2401.4621350764555</v>
      </c>
      <c r="T189" s="3">
        <f t="shared" si="56"/>
        <v>431.86015908435598</v>
      </c>
      <c r="U189" s="3">
        <f t="shared" si="56"/>
        <v>0</v>
      </c>
      <c r="V189" s="3">
        <f t="shared" si="56"/>
        <v>1316.388131628142</v>
      </c>
      <c r="X189" s="2">
        <f t="shared" si="35"/>
        <v>-4.5379469889294626</v>
      </c>
    </row>
    <row r="190" spans="1:24" x14ac:dyDescent="0.2">
      <c r="A190">
        <v>6005</v>
      </c>
      <c r="B190">
        <v>31</v>
      </c>
      <c r="C190" s="3">
        <f t="shared" ref="C190:V190" si="57">+(C149-C25)</f>
        <v>0</v>
      </c>
      <c r="D190" s="3">
        <f t="shared" si="57"/>
        <v>777.91490400960299</v>
      </c>
      <c r="E190" s="3">
        <f t="shared" si="57"/>
        <v>0</v>
      </c>
      <c r="F190" s="3">
        <f t="shared" si="57"/>
        <v>-233.74184203420799</v>
      </c>
      <c r="G190" s="3">
        <f t="shared" si="57"/>
        <v>0</v>
      </c>
      <c r="H190" s="3">
        <f t="shared" si="57"/>
        <v>0</v>
      </c>
      <c r="I190" s="3">
        <f t="shared" si="57"/>
        <v>206.1948273017023</v>
      </c>
      <c r="J190" s="3">
        <f t="shared" si="57"/>
        <v>0</v>
      </c>
      <c r="K190" s="3">
        <f t="shared" si="57"/>
        <v>-378.61926440135107</v>
      </c>
      <c r="L190" s="3">
        <f t="shared" si="57"/>
        <v>0</v>
      </c>
      <c r="M190" s="3">
        <f t="shared" si="57"/>
        <v>-4481.9750077667704</v>
      </c>
      <c r="N190" s="3">
        <f t="shared" si="57"/>
        <v>0</v>
      </c>
      <c r="O190" s="3">
        <f t="shared" si="57"/>
        <v>-27.468159528032295</v>
      </c>
      <c r="P190" s="3">
        <f t="shared" si="57"/>
        <v>-118.34465460984802</v>
      </c>
      <c r="Q190" s="3">
        <f t="shared" si="57"/>
        <v>19.774206519803002</v>
      </c>
      <c r="R190" s="3">
        <f t="shared" si="57"/>
        <v>0</v>
      </c>
      <c r="S190" s="3">
        <f t="shared" si="57"/>
        <v>-2590.8367942941004</v>
      </c>
      <c r="T190" s="3">
        <f t="shared" si="57"/>
        <v>464.471780208214</v>
      </c>
      <c r="U190" s="3">
        <f t="shared" si="57"/>
        <v>0</v>
      </c>
      <c r="V190" s="3">
        <f t="shared" si="57"/>
        <v>1290.362207702389</v>
      </c>
      <c r="X190" s="2">
        <f t="shared" si="35"/>
        <v>-5.0722677968926</v>
      </c>
    </row>
    <row r="191" spans="1:24" x14ac:dyDescent="0.2">
      <c r="A191">
        <v>6005</v>
      </c>
      <c r="B191">
        <v>32</v>
      </c>
      <c r="C191" s="3">
        <f t="shared" ref="C191:V191" si="58">+(C150-C26)</f>
        <v>0</v>
      </c>
      <c r="D191" s="3">
        <f t="shared" si="58"/>
        <v>817.68502536092205</v>
      </c>
      <c r="E191" s="3">
        <f t="shared" si="58"/>
        <v>0</v>
      </c>
      <c r="F191" s="3">
        <f t="shared" si="58"/>
        <v>-263.73269121362904</v>
      </c>
      <c r="G191" s="3">
        <f t="shared" si="58"/>
        <v>0</v>
      </c>
      <c r="H191" s="3">
        <f t="shared" si="58"/>
        <v>0</v>
      </c>
      <c r="I191" s="3">
        <f t="shared" si="58"/>
        <v>223.40366986821499</v>
      </c>
      <c r="J191" s="3">
        <f t="shared" si="58"/>
        <v>0</v>
      </c>
      <c r="K191" s="3">
        <f t="shared" si="58"/>
        <v>-403.12637499487096</v>
      </c>
      <c r="L191" s="3">
        <f t="shared" si="58"/>
        <v>0</v>
      </c>
      <c r="M191" s="3">
        <f t="shared" si="58"/>
        <v>-4846.2332703994698</v>
      </c>
      <c r="N191" s="3">
        <f t="shared" si="58"/>
        <v>0</v>
      </c>
      <c r="O191" s="3">
        <f t="shared" si="58"/>
        <v>-28.720568408939094</v>
      </c>
      <c r="P191" s="3">
        <f t="shared" si="58"/>
        <v>-124.26141057064604</v>
      </c>
      <c r="Q191" s="3">
        <f t="shared" si="58"/>
        <v>25.233231705757007</v>
      </c>
      <c r="R191" s="3">
        <f t="shared" si="58"/>
        <v>0</v>
      </c>
      <c r="S191" s="3">
        <f t="shared" si="58"/>
        <v>-2792.4194818306951</v>
      </c>
      <c r="T191" s="3">
        <f t="shared" si="58"/>
        <v>500.75101349906004</v>
      </c>
      <c r="U191" s="3">
        <f t="shared" si="58"/>
        <v>0</v>
      </c>
      <c r="V191" s="3">
        <f t="shared" si="58"/>
        <v>1271.4379440817961</v>
      </c>
      <c r="X191" s="2">
        <f t="shared" si="35"/>
        <v>-5.6199829129025005</v>
      </c>
    </row>
    <row r="192" spans="1:24" x14ac:dyDescent="0.2">
      <c r="A192">
        <v>6005</v>
      </c>
      <c r="B192">
        <v>33</v>
      </c>
      <c r="C192" s="3">
        <f t="shared" ref="C192:V192" si="59">+(C151-C27)</f>
        <v>0</v>
      </c>
      <c r="D192" s="3">
        <f t="shared" si="59"/>
        <v>855.63576235007497</v>
      </c>
      <c r="E192" s="3">
        <f t="shared" si="59"/>
        <v>0</v>
      </c>
      <c r="F192" s="3">
        <f t="shared" si="59"/>
        <v>-292.931432346181</v>
      </c>
      <c r="G192" s="3">
        <f t="shared" si="59"/>
        <v>0</v>
      </c>
      <c r="H192" s="3">
        <f t="shared" si="59"/>
        <v>0</v>
      </c>
      <c r="I192" s="3">
        <f t="shared" si="59"/>
        <v>240.27933111092872</v>
      </c>
      <c r="J192" s="3">
        <f t="shared" si="59"/>
        <v>0</v>
      </c>
      <c r="K192" s="3">
        <f t="shared" si="59"/>
        <v>-428.39383375167603</v>
      </c>
      <c r="L192" s="3">
        <f t="shared" si="59"/>
        <v>0</v>
      </c>
      <c r="M192" s="3">
        <f t="shared" si="59"/>
        <v>-5247.5064531983899</v>
      </c>
      <c r="N192" s="3">
        <f t="shared" si="59"/>
        <v>0</v>
      </c>
      <c r="O192" s="3">
        <f t="shared" si="59"/>
        <v>-29.973984220066498</v>
      </c>
      <c r="P192" s="3">
        <f t="shared" si="59"/>
        <v>-129.80344005113193</v>
      </c>
      <c r="Q192" s="3">
        <f t="shared" si="59"/>
        <v>25.233231705757007</v>
      </c>
      <c r="R192" s="3">
        <f t="shared" si="59"/>
        <v>0</v>
      </c>
      <c r="S192" s="3">
        <f t="shared" si="59"/>
        <v>-2986.5187819009952</v>
      </c>
      <c r="T192" s="3">
        <f t="shared" si="59"/>
        <v>546.6506409842591</v>
      </c>
      <c r="U192" s="3">
        <f t="shared" si="59"/>
        <v>0</v>
      </c>
      <c r="V192" s="3">
        <f t="shared" si="59"/>
        <v>1318.3609580457401</v>
      </c>
      <c r="X192" s="2">
        <f t="shared" si="35"/>
        <v>-6.1289680012716818</v>
      </c>
    </row>
    <row r="193" spans="1:24" x14ac:dyDescent="0.2">
      <c r="A193">
        <v>6005</v>
      </c>
      <c r="B193">
        <v>34</v>
      </c>
      <c r="C193" s="3">
        <f t="shared" ref="C193:V193" si="60">+(C152-C28)</f>
        <v>0</v>
      </c>
      <c r="D193" s="3">
        <f t="shared" si="60"/>
        <v>891.98366951796402</v>
      </c>
      <c r="E193" s="3">
        <f t="shared" si="60"/>
        <v>0</v>
      </c>
      <c r="F193" s="3">
        <f t="shared" si="60"/>
        <v>-321.35269732203</v>
      </c>
      <c r="G193" s="3">
        <f t="shared" si="60"/>
        <v>0</v>
      </c>
      <c r="H193" s="3">
        <f t="shared" si="60"/>
        <v>0</v>
      </c>
      <c r="I193" s="3">
        <f t="shared" si="60"/>
        <v>257.70961678987942</v>
      </c>
      <c r="J193" s="3">
        <f t="shared" si="60"/>
        <v>0</v>
      </c>
      <c r="K193" s="3">
        <f t="shared" si="60"/>
        <v>-454.32070613220048</v>
      </c>
      <c r="L193" s="3">
        <f t="shared" si="60"/>
        <v>0</v>
      </c>
      <c r="M193" s="3">
        <f t="shared" si="60"/>
        <v>-5644.2667493162098</v>
      </c>
      <c r="N193" s="3">
        <f t="shared" si="60"/>
        <v>0</v>
      </c>
      <c r="O193" s="3">
        <f t="shared" si="60"/>
        <v>-31.1734888440429</v>
      </c>
      <c r="P193" s="3">
        <f t="shared" si="60"/>
        <v>-135.26137311446701</v>
      </c>
      <c r="Q193" s="3">
        <f t="shared" si="60"/>
        <v>25.233231705757007</v>
      </c>
      <c r="R193" s="3">
        <f t="shared" si="60"/>
        <v>0</v>
      </c>
      <c r="S193" s="3">
        <f t="shared" si="60"/>
        <v>-3198.8294048798221</v>
      </c>
      <c r="T193" s="3">
        <f t="shared" si="60"/>
        <v>589.54045233055103</v>
      </c>
      <c r="U193" s="3">
        <f t="shared" si="60"/>
        <v>0</v>
      </c>
      <c r="V193" s="3">
        <f t="shared" si="60"/>
        <v>1292.6331464463519</v>
      </c>
      <c r="X193" s="2">
        <f t="shared" si="35"/>
        <v>-6.7281043028182674</v>
      </c>
    </row>
    <row r="194" spans="1:24" x14ac:dyDescent="0.2">
      <c r="A194">
        <v>6005</v>
      </c>
      <c r="B194">
        <v>35</v>
      </c>
      <c r="C194" s="3">
        <f t="shared" ref="C194:V194" si="61">+(C153-C29)</f>
        <v>0</v>
      </c>
      <c r="D194" s="3">
        <f t="shared" si="61"/>
        <v>953.91372408948803</v>
      </c>
      <c r="E194" s="3">
        <f t="shared" si="61"/>
        <v>0</v>
      </c>
      <c r="F194" s="3">
        <f t="shared" si="61"/>
        <v>-348.98710313415796</v>
      </c>
      <c r="G194" s="3">
        <f t="shared" si="61"/>
        <v>0</v>
      </c>
      <c r="H194" s="3">
        <f t="shared" si="61"/>
        <v>0</v>
      </c>
      <c r="I194" s="3">
        <f t="shared" si="61"/>
        <v>275.70710900397484</v>
      </c>
      <c r="J194" s="3">
        <f t="shared" si="61"/>
        <v>0</v>
      </c>
      <c r="K194" s="3">
        <f t="shared" si="61"/>
        <v>-481.05757715359573</v>
      </c>
      <c r="L194" s="3">
        <f t="shared" si="61"/>
        <v>0</v>
      </c>
      <c r="M194" s="3">
        <f t="shared" si="61"/>
        <v>-6086.0520524442582</v>
      </c>
      <c r="N194" s="3">
        <f t="shared" si="61"/>
        <v>0</v>
      </c>
      <c r="O194" s="3">
        <f t="shared" si="61"/>
        <v>-32.217450936317199</v>
      </c>
      <c r="P194" s="3">
        <f t="shared" si="61"/>
        <v>-140.58740330086192</v>
      </c>
      <c r="Q194" s="3">
        <f t="shared" si="61"/>
        <v>25.233231705757007</v>
      </c>
      <c r="R194" s="3">
        <f t="shared" si="61"/>
        <v>0</v>
      </c>
      <c r="S194" s="3">
        <f t="shared" si="61"/>
        <v>-3405.6386755105791</v>
      </c>
      <c r="T194" s="3">
        <f t="shared" si="61"/>
        <v>627.81986181179298</v>
      </c>
      <c r="U194" s="3">
        <f t="shared" si="61"/>
        <v>0</v>
      </c>
      <c r="V194" s="3">
        <f t="shared" si="61"/>
        <v>1354.9626281595999</v>
      </c>
      <c r="X194" s="2">
        <f t="shared" si="35"/>
        <v>-7.2569037077091574</v>
      </c>
    </row>
    <row r="195" spans="1:24" x14ac:dyDescent="0.2">
      <c r="A195">
        <v>6005</v>
      </c>
      <c r="B195">
        <v>36</v>
      </c>
      <c r="C195" s="3">
        <f t="shared" ref="C195:V195" si="62">+(C154-C30)</f>
        <v>0</v>
      </c>
      <c r="D195" s="3">
        <f t="shared" si="62"/>
        <v>1045.1345233608599</v>
      </c>
      <c r="E195" s="3">
        <f t="shared" si="62"/>
        <v>0</v>
      </c>
      <c r="F195" s="3">
        <f t="shared" si="62"/>
        <v>-389.09327673196998</v>
      </c>
      <c r="G195" s="3">
        <f t="shared" si="62"/>
        <v>0</v>
      </c>
      <c r="H195" s="3">
        <f t="shared" si="62"/>
        <v>0</v>
      </c>
      <c r="I195" s="3">
        <f t="shared" si="62"/>
        <v>293.63300680522252</v>
      </c>
      <c r="J195" s="3">
        <f t="shared" si="62"/>
        <v>0</v>
      </c>
      <c r="K195" s="3">
        <f t="shared" si="62"/>
        <v>-509.60554687963599</v>
      </c>
      <c r="L195" s="3">
        <f t="shared" si="62"/>
        <v>0</v>
      </c>
      <c r="M195" s="3">
        <f t="shared" si="62"/>
        <v>-6527.3480731488162</v>
      </c>
      <c r="N195" s="3">
        <f t="shared" si="62"/>
        <v>0</v>
      </c>
      <c r="O195" s="3">
        <f t="shared" si="62"/>
        <v>-34.144412171368998</v>
      </c>
      <c r="P195" s="3">
        <f t="shared" si="62"/>
        <v>-149.88802006581892</v>
      </c>
      <c r="Q195" s="3">
        <f t="shared" si="62"/>
        <v>25.233231705757007</v>
      </c>
      <c r="R195" s="3">
        <f t="shared" si="62"/>
        <v>0</v>
      </c>
      <c r="S195" s="3">
        <f t="shared" si="62"/>
        <v>-3623.8548083544551</v>
      </c>
      <c r="T195" s="3">
        <f t="shared" si="62"/>
        <v>678.12629903531797</v>
      </c>
      <c r="U195" s="3">
        <f t="shared" si="62"/>
        <v>0</v>
      </c>
      <c r="V195" s="3">
        <f t="shared" si="62"/>
        <v>1430.1476314449519</v>
      </c>
      <c r="X195" s="2">
        <f t="shared" si="35"/>
        <v>-7.7616594449999559</v>
      </c>
    </row>
    <row r="196" spans="1:24" x14ac:dyDescent="0.2">
      <c r="A196">
        <v>6005</v>
      </c>
      <c r="B196">
        <v>37</v>
      </c>
      <c r="C196" s="3">
        <f t="shared" ref="C196:V196" si="63">+(C155-C31)</f>
        <v>0</v>
      </c>
      <c r="D196" s="3">
        <f t="shared" si="63"/>
        <v>1045.1345233608599</v>
      </c>
      <c r="E196" s="3">
        <f t="shared" si="63"/>
        <v>0</v>
      </c>
      <c r="F196" s="3">
        <f t="shared" si="63"/>
        <v>-429.67058273523895</v>
      </c>
      <c r="G196" s="3">
        <f t="shared" si="63"/>
        <v>0</v>
      </c>
      <c r="H196" s="3">
        <f t="shared" si="63"/>
        <v>0</v>
      </c>
      <c r="I196" s="3">
        <f t="shared" si="63"/>
        <v>312.03898650791393</v>
      </c>
      <c r="J196" s="3">
        <f t="shared" si="63"/>
        <v>0</v>
      </c>
      <c r="K196" s="3">
        <f t="shared" si="63"/>
        <v>-538.68074015541993</v>
      </c>
      <c r="L196" s="3">
        <f t="shared" si="63"/>
        <v>0</v>
      </c>
      <c r="M196" s="3">
        <f t="shared" si="63"/>
        <v>-6982.5140325775237</v>
      </c>
      <c r="N196" s="3">
        <f t="shared" si="63"/>
        <v>0</v>
      </c>
      <c r="O196" s="3">
        <f t="shared" si="63"/>
        <v>-35.943496461332401</v>
      </c>
      <c r="P196" s="3">
        <f t="shared" si="63"/>
        <v>-159.28947689671401</v>
      </c>
      <c r="Q196" s="3">
        <f t="shared" si="63"/>
        <v>25.233231705757007</v>
      </c>
      <c r="R196" s="3">
        <f t="shared" si="63"/>
        <v>0</v>
      </c>
      <c r="S196" s="3">
        <f t="shared" si="63"/>
        <v>-3854.221756684</v>
      </c>
      <c r="T196" s="3">
        <f t="shared" si="63"/>
        <v>732.71624339391701</v>
      </c>
      <c r="U196" s="3">
        <f t="shared" si="63"/>
        <v>0</v>
      </c>
      <c r="V196" s="3">
        <f t="shared" si="63"/>
        <v>1579.7249993982471</v>
      </c>
      <c r="X196" s="2">
        <f t="shared" si="35"/>
        <v>-8.3054721011435344</v>
      </c>
    </row>
    <row r="197" spans="1:24" x14ac:dyDescent="0.2">
      <c r="A197">
        <v>6005</v>
      </c>
      <c r="B197">
        <v>38</v>
      </c>
      <c r="C197" s="3">
        <f t="shared" ref="C197:V197" si="64">+(C156-C32)</f>
        <v>0</v>
      </c>
      <c r="D197" s="3">
        <f t="shared" si="64"/>
        <v>1045.1345233608599</v>
      </c>
      <c r="E197" s="3">
        <f t="shared" si="64"/>
        <v>0</v>
      </c>
      <c r="F197" s="3">
        <f t="shared" si="64"/>
        <v>-470.59849219329595</v>
      </c>
      <c r="G197" s="3">
        <f t="shared" si="64"/>
        <v>0</v>
      </c>
      <c r="H197" s="3">
        <f t="shared" si="64"/>
        <v>0</v>
      </c>
      <c r="I197" s="3">
        <f t="shared" si="64"/>
        <v>330.89161323093577</v>
      </c>
      <c r="J197" s="3">
        <f t="shared" si="64"/>
        <v>0</v>
      </c>
      <c r="K197" s="3">
        <f t="shared" si="64"/>
        <v>-569.15717408063188</v>
      </c>
      <c r="L197" s="3">
        <f t="shared" si="64"/>
        <v>0</v>
      </c>
      <c r="M197" s="3">
        <f t="shared" si="64"/>
        <v>-7464.9968283769449</v>
      </c>
      <c r="N197" s="3">
        <f t="shared" si="64"/>
        <v>0</v>
      </c>
      <c r="O197" s="3">
        <f t="shared" si="64"/>
        <v>-38.449742910374397</v>
      </c>
      <c r="P197" s="3">
        <f t="shared" si="64"/>
        <v>-168.451358552248</v>
      </c>
      <c r="Q197" s="3">
        <f t="shared" si="64"/>
        <v>25.233231705757007</v>
      </c>
      <c r="R197" s="3">
        <f t="shared" si="64"/>
        <v>0</v>
      </c>
      <c r="S197" s="3">
        <f t="shared" si="64"/>
        <v>-4079.9338267013759</v>
      </c>
      <c r="T197" s="3">
        <f t="shared" si="64"/>
        <v>792.10338091824997</v>
      </c>
      <c r="U197" s="3">
        <f t="shared" si="64"/>
        <v>0</v>
      </c>
      <c r="V197" s="3">
        <f t="shared" si="64"/>
        <v>1930.4037713699852</v>
      </c>
      <c r="X197" s="2">
        <f t="shared" si="35"/>
        <v>-8.6678209022290815</v>
      </c>
    </row>
    <row r="198" spans="1:24" x14ac:dyDescent="0.2">
      <c r="A198">
        <v>6005</v>
      </c>
      <c r="B198">
        <v>39</v>
      </c>
      <c r="C198" s="3">
        <f t="shared" ref="C198:V198" si="65">+(C157-C33)</f>
        <v>0</v>
      </c>
      <c r="D198" s="3">
        <f t="shared" si="65"/>
        <v>1073.53202384567</v>
      </c>
      <c r="E198" s="3">
        <f t="shared" si="65"/>
        <v>0</v>
      </c>
      <c r="F198" s="3">
        <f t="shared" si="65"/>
        <v>-511.85234401691997</v>
      </c>
      <c r="G198" s="3">
        <f t="shared" si="65"/>
        <v>0</v>
      </c>
      <c r="H198" s="3">
        <f t="shared" si="65"/>
        <v>0</v>
      </c>
      <c r="I198" s="3">
        <f t="shared" si="65"/>
        <v>350.18864878116688</v>
      </c>
      <c r="J198" s="3">
        <f t="shared" si="65"/>
        <v>0</v>
      </c>
      <c r="K198" s="3">
        <f t="shared" si="65"/>
        <v>-592.6104362471699</v>
      </c>
      <c r="L198" s="3">
        <f t="shared" si="65"/>
        <v>0</v>
      </c>
      <c r="M198" s="3">
        <f t="shared" si="65"/>
        <v>-7711.6363328639754</v>
      </c>
      <c r="N198" s="3">
        <f t="shared" si="65"/>
        <v>0</v>
      </c>
      <c r="O198" s="3">
        <f t="shared" si="65"/>
        <v>-40.040457720742694</v>
      </c>
      <c r="P198" s="3">
        <f t="shared" si="65"/>
        <v>-168.451358552248</v>
      </c>
      <c r="Q198" s="3">
        <f t="shared" si="65"/>
        <v>25.233231705757007</v>
      </c>
      <c r="R198" s="3">
        <f t="shared" si="65"/>
        <v>0</v>
      </c>
      <c r="S198" s="3">
        <f t="shared" si="65"/>
        <v>-4180.2936553161762</v>
      </c>
      <c r="T198" s="3">
        <f t="shared" si="65"/>
        <v>854.87261274072603</v>
      </c>
      <c r="U198" s="3">
        <f t="shared" si="65"/>
        <v>0</v>
      </c>
      <c r="V198" s="3">
        <f t="shared" si="65"/>
        <v>1882.5503164741613</v>
      </c>
      <c r="X198" s="2">
        <f t="shared" si="35"/>
        <v>-9.0185077511697482</v>
      </c>
    </row>
    <row r="199" spans="1:24" x14ac:dyDescent="0.2">
      <c r="A199">
        <v>6005</v>
      </c>
      <c r="B199">
        <v>40</v>
      </c>
      <c r="C199" s="3">
        <f t="shared" ref="C199:V199" si="66">+(C158-C34)</f>
        <v>0</v>
      </c>
      <c r="D199" s="3">
        <f t="shared" si="66"/>
        <v>1102.89569108257</v>
      </c>
      <c r="E199" s="3">
        <f t="shared" si="66"/>
        <v>0</v>
      </c>
      <c r="F199" s="3">
        <f t="shared" si="66"/>
        <v>-553.30439744889691</v>
      </c>
      <c r="G199" s="3">
        <f t="shared" si="66"/>
        <v>0</v>
      </c>
      <c r="H199" s="3">
        <f t="shared" si="66"/>
        <v>0</v>
      </c>
      <c r="I199" s="3">
        <f t="shared" si="66"/>
        <v>369.89127765818159</v>
      </c>
      <c r="J199" s="3">
        <f t="shared" si="66"/>
        <v>0</v>
      </c>
      <c r="K199" s="3">
        <f t="shared" si="66"/>
        <v>-610.14336603437891</v>
      </c>
      <c r="L199" s="3">
        <f t="shared" si="66"/>
        <v>0</v>
      </c>
      <c r="M199" s="3">
        <f t="shared" si="66"/>
        <v>-7960.5385353909651</v>
      </c>
      <c r="N199" s="3">
        <f t="shared" si="66"/>
        <v>0</v>
      </c>
      <c r="O199" s="3">
        <f t="shared" si="66"/>
        <v>-41.808723069889801</v>
      </c>
      <c r="P199" s="3">
        <f t="shared" si="66"/>
        <v>-168.451358552248</v>
      </c>
      <c r="Q199" s="3">
        <f t="shared" si="66"/>
        <v>25.233231705757007</v>
      </c>
      <c r="R199" s="3">
        <f t="shared" si="66"/>
        <v>0</v>
      </c>
      <c r="S199" s="3">
        <f t="shared" si="66"/>
        <v>-4287.6657078078724</v>
      </c>
      <c r="T199" s="3">
        <f t="shared" si="66"/>
        <v>913.90480313729313</v>
      </c>
      <c r="U199" s="3">
        <f t="shared" si="66"/>
        <v>0</v>
      </c>
      <c r="V199" s="3">
        <f t="shared" si="66"/>
        <v>1828.2405596486763</v>
      </c>
      <c r="X199" s="2">
        <f t="shared" si="35"/>
        <v>-9.3817465250717724</v>
      </c>
    </row>
    <row r="200" spans="1:24" x14ac:dyDescent="0.2">
      <c r="A200">
        <v>6005</v>
      </c>
      <c r="B200">
        <v>41</v>
      </c>
      <c r="C200" s="3">
        <f t="shared" ref="C200:V200" si="67">+(C159-C35)</f>
        <v>0</v>
      </c>
      <c r="D200" s="3">
        <f t="shared" si="67"/>
        <v>1129.55745244434</v>
      </c>
      <c r="E200" s="3">
        <f t="shared" si="67"/>
        <v>0</v>
      </c>
      <c r="F200" s="3">
        <f t="shared" si="67"/>
        <v>-594.93309693267906</v>
      </c>
      <c r="G200" s="3">
        <f t="shared" si="67"/>
        <v>0</v>
      </c>
      <c r="H200" s="3">
        <f t="shared" si="67"/>
        <v>0</v>
      </c>
      <c r="I200" s="3">
        <f t="shared" si="67"/>
        <v>389.99701675380993</v>
      </c>
      <c r="J200" s="3">
        <f t="shared" si="67"/>
        <v>0</v>
      </c>
      <c r="K200" s="3">
        <f t="shared" si="67"/>
        <v>-625.34525387888198</v>
      </c>
      <c r="L200" s="3">
        <f t="shared" si="67"/>
        <v>0</v>
      </c>
      <c r="M200" s="3">
        <f t="shared" si="67"/>
        <v>-8211.6732596835755</v>
      </c>
      <c r="N200" s="3">
        <f t="shared" si="67"/>
        <v>0</v>
      </c>
      <c r="O200" s="3">
        <f t="shared" si="67"/>
        <v>-43.604745907955305</v>
      </c>
      <c r="P200" s="3">
        <f t="shared" si="67"/>
        <v>-168.451358552248</v>
      </c>
      <c r="Q200" s="3">
        <f t="shared" si="67"/>
        <v>25.233231705757007</v>
      </c>
      <c r="R200" s="3">
        <f t="shared" si="67"/>
        <v>0</v>
      </c>
      <c r="S200" s="3">
        <f t="shared" si="67"/>
        <v>-4387.415657177793</v>
      </c>
      <c r="T200" s="3">
        <f t="shared" si="67"/>
        <v>970.8488599184119</v>
      </c>
      <c r="U200" s="3">
        <f t="shared" si="67"/>
        <v>0</v>
      </c>
      <c r="V200" s="3">
        <f t="shared" si="67"/>
        <v>1770.1874519346748</v>
      </c>
      <c r="X200" s="2">
        <f t="shared" si="35"/>
        <v>-9.7455993593761381</v>
      </c>
    </row>
    <row r="201" spans="1:24" x14ac:dyDescent="0.2">
      <c r="A201">
        <v>6005</v>
      </c>
      <c r="B201">
        <v>42</v>
      </c>
      <c r="C201" s="3">
        <f t="shared" ref="C201:V201" si="68">+(C160-C36)</f>
        <v>0</v>
      </c>
      <c r="D201" s="3">
        <f t="shared" si="68"/>
        <v>1152.5497624238001</v>
      </c>
      <c r="E201" s="3">
        <f t="shared" si="68"/>
        <v>0</v>
      </c>
      <c r="F201" s="3">
        <f t="shared" si="68"/>
        <v>-636.77833281026301</v>
      </c>
      <c r="G201" s="3">
        <f t="shared" si="68"/>
        <v>0</v>
      </c>
      <c r="H201" s="3">
        <f t="shared" si="68"/>
        <v>0</v>
      </c>
      <c r="I201" s="3">
        <f t="shared" si="68"/>
        <v>410.52770734095066</v>
      </c>
      <c r="J201" s="3">
        <f t="shared" si="68"/>
        <v>0</v>
      </c>
      <c r="K201" s="3">
        <f t="shared" si="68"/>
        <v>-638.00688578878987</v>
      </c>
      <c r="L201" s="3">
        <f t="shared" si="68"/>
        <v>0</v>
      </c>
      <c r="M201" s="3">
        <f t="shared" si="68"/>
        <v>-8465.9124210608461</v>
      </c>
      <c r="N201" s="3">
        <f t="shared" si="68"/>
        <v>0</v>
      </c>
      <c r="O201" s="3">
        <f t="shared" si="68"/>
        <v>-50.271827207852404</v>
      </c>
      <c r="P201" s="3">
        <f t="shared" si="68"/>
        <v>-168.451358552248</v>
      </c>
      <c r="Q201" s="3">
        <f t="shared" si="68"/>
        <v>25.233231705757007</v>
      </c>
      <c r="R201" s="3">
        <f t="shared" si="68"/>
        <v>0</v>
      </c>
      <c r="S201" s="3">
        <f t="shared" si="68"/>
        <v>-4487.8789154037322</v>
      </c>
      <c r="T201" s="3">
        <f t="shared" si="68"/>
        <v>1025.6675413251569</v>
      </c>
      <c r="U201" s="3">
        <f t="shared" si="68"/>
        <v>0</v>
      </c>
      <c r="V201" s="3">
        <f t="shared" si="68"/>
        <v>1712.2657301398619</v>
      </c>
      <c r="X201" s="2">
        <f t="shared" si="35"/>
        <v>-10.121055767888203</v>
      </c>
    </row>
    <row r="202" spans="1:24" x14ac:dyDescent="0.2">
      <c r="A202">
        <v>6005</v>
      </c>
      <c r="B202">
        <v>43</v>
      </c>
      <c r="C202" s="3">
        <f t="shared" ref="C202:V202" si="69">+(C161-C37)</f>
        <v>0</v>
      </c>
      <c r="D202" s="3">
        <f t="shared" si="69"/>
        <v>1171.5064896563599</v>
      </c>
      <c r="E202" s="3">
        <f t="shared" si="69"/>
        <v>0</v>
      </c>
      <c r="F202" s="3">
        <f t="shared" si="69"/>
        <v>-678.82130411056301</v>
      </c>
      <c r="G202" s="3">
        <f t="shared" si="69"/>
        <v>0</v>
      </c>
      <c r="H202" s="3">
        <f t="shared" si="69"/>
        <v>0</v>
      </c>
      <c r="I202" s="3">
        <f t="shared" si="69"/>
        <v>431.48550594923444</v>
      </c>
      <c r="J202" s="3">
        <f t="shared" si="69"/>
        <v>0</v>
      </c>
      <c r="K202" s="3">
        <f t="shared" si="69"/>
        <v>-655.93092412851695</v>
      </c>
      <c r="L202" s="3">
        <f t="shared" si="69"/>
        <v>0</v>
      </c>
      <c r="M202" s="3">
        <f t="shared" si="69"/>
        <v>-8723.0642441948457</v>
      </c>
      <c r="N202" s="3">
        <f t="shared" si="69"/>
        <v>0</v>
      </c>
      <c r="O202" s="3">
        <f t="shared" si="69"/>
        <v>-81.477552346645695</v>
      </c>
      <c r="P202" s="3">
        <f t="shared" si="69"/>
        <v>-168.451358552248</v>
      </c>
      <c r="Q202" s="3">
        <f t="shared" si="69"/>
        <v>25.233231705757007</v>
      </c>
      <c r="R202" s="3">
        <f t="shared" si="69"/>
        <v>0</v>
      </c>
      <c r="S202" s="3">
        <f t="shared" si="69"/>
        <v>-4589.8318151248923</v>
      </c>
      <c r="T202" s="3">
        <f t="shared" si="69"/>
        <v>1082.157164722423</v>
      </c>
      <c r="U202" s="3">
        <f t="shared" si="69"/>
        <v>0</v>
      </c>
      <c r="V202" s="3">
        <f t="shared" si="69"/>
        <v>1671.0904320331069</v>
      </c>
      <c r="X202" s="2">
        <f t="shared" si="35"/>
        <v>-10.516104374390832</v>
      </c>
    </row>
    <row r="203" spans="1:24" x14ac:dyDescent="0.2">
      <c r="A203">
        <v>6005</v>
      </c>
      <c r="B203">
        <v>44</v>
      </c>
      <c r="C203" s="3">
        <f t="shared" ref="C203:V203" si="70">+(C162-C38)</f>
        <v>0</v>
      </c>
      <c r="D203" s="3">
        <f t="shared" si="70"/>
        <v>1187.15649952851</v>
      </c>
      <c r="E203" s="3">
        <f t="shared" si="70"/>
        <v>0</v>
      </c>
      <c r="F203" s="3">
        <f t="shared" si="70"/>
        <v>-721.10693323913301</v>
      </c>
      <c r="G203" s="3">
        <f t="shared" si="70"/>
        <v>0</v>
      </c>
      <c r="H203" s="3">
        <f t="shared" si="70"/>
        <v>0</v>
      </c>
      <c r="I203" s="3">
        <f t="shared" si="70"/>
        <v>452.8994351516323</v>
      </c>
      <c r="J203" s="3">
        <f t="shared" si="70"/>
        <v>0</v>
      </c>
      <c r="K203" s="3">
        <f t="shared" si="70"/>
        <v>-667.13465234560692</v>
      </c>
      <c r="L203" s="3">
        <f t="shared" si="70"/>
        <v>0</v>
      </c>
      <c r="M203" s="3">
        <f t="shared" si="70"/>
        <v>-8984.404524493706</v>
      </c>
      <c r="N203" s="3">
        <f t="shared" si="70"/>
        <v>0</v>
      </c>
      <c r="O203" s="3">
        <f t="shared" si="70"/>
        <v>-83.2913213159582</v>
      </c>
      <c r="P203" s="3">
        <f t="shared" si="70"/>
        <v>-168.451358552248</v>
      </c>
      <c r="Q203" s="3">
        <f t="shared" si="70"/>
        <v>25.233231705757007</v>
      </c>
      <c r="R203" s="3">
        <f t="shared" si="70"/>
        <v>0</v>
      </c>
      <c r="S203" s="3">
        <f t="shared" si="70"/>
        <v>-4692.3872139073828</v>
      </c>
      <c r="T203" s="3">
        <f t="shared" si="70"/>
        <v>1134.391198573458</v>
      </c>
      <c r="U203" s="3">
        <f t="shared" si="70"/>
        <v>0</v>
      </c>
      <c r="V203" s="3">
        <f t="shared" si="70"/>
        <v>1608.6998430221197</v>
      </c>
      <c r="X203" s="2">
        <f t="shared" si="35"/>
        <v>-10.908395795872559</v>
      </c>
    </row>
    <row r="204" spans="1:24" x14ac:dyDescent="0.2">
      <c r="A204">
        <v>6005</v>
      </c>
      <c r="B204">
        <v>45</v>
      </c>
      <c r="C204" s="3">
        <f t="shared" ref="C204:V204" si="71">+(C163-C39)</f>
        <v>0</v>
      </c>
      <c r="D204" s="3">
        <f t="shared" si="71"/>
        <v>1187.15649952851</v>
      </c>
      <c r="E204" s="3">
        <f t="shared" si="71"/>
        <v>0</v>
      </c>
      <c r="F204" s="3">
        <f t="shared" si="71"/>
        <v>-763.68716720553289</v>
      </c>
      <c r="G204" s="3">
        <f t="shared" si="71"/>
        <v>0</v>
      </c>
      <c r="H204" s="3">
        <f t="shared" si="71"/>
        <v>0</v>
      </c>
      <c r="I204" s="3">
        <f t="shared" si="71"/>
        <v>471.20861461050805</v>
      </c>
      <c r="J204" s="3">
        <f t="shared" si="71"/>
        <v>0</v>
      </c>
      <c r="K204" s="3">
        <f t="shared" si="71"/>
        <v>-678.45398848371792</v>
      </c>
      <c r="L204" s="3">
        <f t="shared" si="71"/>
        <v>0</v>
      </c>
      <c r="M204" s="3">
        <f t="shared" si="71"/>
        <v>-9250.6125418962256</v>
      </c>
      <c r="N204" s="3">
        <f t="shared" si="71"/>
        <v>0</v>
      </c>
      <c r="O204" s="3">
        <f t="shared" si="71"/>
        <v>-85.123806024861395</v>
      </c>
      <c r="P204" s="3">
        <f t="shared" si="71"/>
        <v>-168.451358552248</v>
      </c>
      <c r="Q204" s="3">
        <f t="shared" si="71"/>
        <v>25.233231705757007</v>
      </c>
      <c r="R204" s="3">
        <f t="shared" si="71"/>
        <v>0</v>
      </c>
      <c r="S204" s="3">
        <f t="shared" si="71"/>
        <v>-4796.0008511809929</v>
      </c>
      <c r="T204" s="3">
        <f t="shared" si="71"/>
        <v>1098.751791692127</v>
      </c>
      <c r="U204" s="3">
        <f t="shared" si="71"/>
        <v>0</v>
      </c>
      <c r="V204" s="3">
        <f t="shared" si="71"/>
        <v>1298.1946244152841</v>
      </c>
      <c r="X204" s="2">
        <f t="shared" si="35"/>
        <v>-11.661784951391391</v>
      </c>
    </row>
    <row r="205" spans="1:24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X205" s="1"/>
    </row>
    <row r="206" spans="1:24" x14ac:dyDescent="0.2">
      <c r="C206" s="3">
        <f>+SUM(C167:C204)</f>
        <v>0</v>
      </c>
      <c r="D206" s="3">
        <f t="shared" ref="D206:V206" si="72">+SUM(D167:D204)</f>
        <v>21987.704185439645</v>
      </c>
      <c r="E206" s="3">
        <f t="shared" si="72"/>
        <v>0</v>
      </c>
      <c r="F206" s="3">
        <f t="shared" si="72"/>
        <v>-5917.4602513506252</v>
      </c>
      <c r="G206" s="3">
        <f t="shared" si="72"/>
        <v>0</v>
      </c>
      <c r="H206" s="3">
        <f t="shared" si="72"/>
        <v>0</v>
      </c>
      <c r="I206" s="3">
        <f t="shared" si="72"/>
        <v>6554.9745590768962</v>
      </c>
      <c r="J206" s="3">
        <f t="shared" si="72"/>
        <v>-90.877650159566784</v>
      </c>
      <c r="K206" s="3">
        <f t="shared" si="72"/>
        <v>-10874.384068605468</v>
      </c>
      <c r="L206" s="3">
        <f t="shared" si="72"/>
        <v>0</v>
      </c>
      <c r="M206" s="3">
        <f>+SUM(M167:M204)</f>
        <v>-141120.14978179213</v>
      </c>
      <c r="N206" s="3">
        <f t="shared" si="72"/>
        <v>0</v>
      </c>
      <c r="O206" s="3">
        <f t="shared" si="72"/>
        <v>-981.41246970241548</v>
      </c>
      <c r="P206" s="3">
        <f t="shared" si="72"/>
        <v>-2821.8374463981854</v>
      </c>
      <c r="Q206" s="3">
        <f t="shared" si="72"/>
        <v>427.53135621899639</v>
      </c>
      <c r="R206" s="3">
        <f t="shared" si="72"/>
        <v>0</v>
      </c>
      <c r="S206" s="3">
        <f t="shared" si="72"/>
        <v>-78657.110187614235</v>
      </c>
      <c r="T206" s="3">
        <f t="shared" si="72"/>
        <v>16327.192670021414</v>
      </c>
      <c r="U206" s="3">
        <f t="shared" si="72"/>
        <v>0</v>
      </c>
      <c r="V206" s="3">
        <f t="shared" si="72"/>
        <v>36146.874098562635</v>
      </c>
      <c r="W206" s="3"/>
      <c r="X206" s="7">
        <f>+SUM(X167:X204)</f>
        <v>-159.01895498630304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capex</vt:lpstr>
      <vt:lpstr>opex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Carlos Fabian Fuentes Rivas</cp:lastModifiedBy>
  <dcterms:created xsi:type="dcterms:W3CDTF">2026-02-09T18:14:15Z</dcterms:created>
  <dcterms:modified xsi:type="dcterms:W3CDTF">2026-02-23T17:20:33Z</dcterms:modified>
</cp:coreProperties>
</file>