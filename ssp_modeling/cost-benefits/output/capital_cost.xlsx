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abianfuentes/git/ssp_mexico/ssp_modeling/cost-benefits/output/"/>
    </mc:Choice>
  </mc:AlternateContent>
  <xr:revisionPtr revIDLastSave="0" documentId="13_ncr:9_{C85D5170-6C26-9A44-AAF2-08D1925BC79C}" xr6:coauthVersionLast="47" xr6:coauthVersionMax="47" xr10:uidLastSave="{00000000-0000-0000-0000-000000000000}"/>
  <bookViews>
    <workbookView xWindow="0" yWindow="660" windowWidth="30240" windowHeight="18980" activeTab="2" xr2:uid="{161FE418-1EBD-4147-B854-E19C0A0F0010}"/>
  </bookViews>
  <sheets>
    <sheet name="capital_cost" sheetId="1" r:id="rId1"/>
    <sheet name="Pathway_2" sheetId="2" r:id="rId2"/>
    <sheet name="Pathway_3" sheetId="3" r:id="rId3"/>
  </sheets>
  <definedNames>
    <definedName name="_xlnm._FilterDatabase" localSheetId="0" hidden="1">capital_cost!$A$1:$W$191</definedName>
    <definedName name="_xlnm._FilterDatabase" localSheetId="1" hidden="1">Pathway_2!$A$1:$Y$116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6" i="2" l="1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Y118" i="3"/>
  <c r="Y3" i="2"/>
  <c r="Y4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42" i="2"/>
  <c r="Y43" i="2"/>
  <c r="Y44" i="2"/>
  <c r="Y45" i="2"/>
  <c r="Y46" i="2"/>
  <c r="Y47" i="2"/>
  <c r="Y48" i="2"/>
  <c r="Y49" i="2"/>
  <c r="Y50" i="2"/>
  <c r="Y51" i="2"/>
  <c r="Y52" i="2"/>
  <c r="Y53" i="2"/>
  <c r="Y54" i="2"/>
  <c r="Y55" i="2"/>
  <c r="Y56" i="2"/>
  <c r="Y57" i="2"/>
  <c r="Y58" i="2"/>
  <c r="Y59" i="2"/>
  <c r="Y60" i="2"/>
  <c r="Y61" i="2"/>
  <c r="Y62" i="2"/>
  <c r="Y63" i="2"/>
  <c r="Y64" i="2"/>
  <c r="Y65" i="2"/>
  <c r="Y66" i="2"/>
  <c r="Y67" i="2"/>
  <c r="Y68" i="2"/>
  <c r="Y69" i="2"/>
  <c r="Y70" i="2"/>
  <c r="Y71" i="2"/>
  <c r="Y72" i="2"/>
  <c r="Y73" i="2"/>
  <c r="Y74" i="2"/>
  <c r="Y75" i="2"/>
  <c r="Y76" i="2"/>
  <c r="Y77" i="2"/>
  <c r="Y2" i="2"/>
  <c r="W116" i="3"/>
  <c r="V116" i="3"/>
  <c r="U116" i="3"/>
  <c r="T116" i="3"/>
  <c r="S116" i="3"/>
  <c r="R116" i="3"/>
  <c r="Q116" i="3"/>
  <c r="P116" i="3"/>
  <c r="O116" i="3"/>
  <c r="N116" i="3"/>
  <c r="M116" i="3"/>
  <c r="L116" i="3"/>
  <c r="K116" i="3"/>
  <c r="J116" i="3"/>
  <c r="I116" i="3"/>
  <c r="H116" i="3"/>
  <c r="G116" i="3"/>
  <c r="F116" i="3"/>
  <c r="E116" i="3"/>
  <c r="D116" i="3"/>
  <c r="W115" i="3"/>
  <c r="V115" i="3"/>
  <c r="U115" i="3"/>
  <c r="T115" i="3"/>
  <c r="S115" i="3"/>
  <c r="R115" i="3"/>
  <c r="Q115" i="3"/>
  <c r="P115" i="3"/>
  <c r="O115" i="3"/>
  <c r="N115" i="3"/>
  <c r="M115" i="3"/>
  <c r="L115" i="3"/>
  <c r="K115" i="3"/>
  <c r="J115" i="3"/>
  <c r="I115" i="3"/>
  <c r="H115" i="3"/>
  <c r="G115" i="3"/>
  <c r="F115" i="3"/>
  <c r="E115" i="3"/>
  <c r="D115" i="3"/>
  <c r="W114" i="3"/>
  <c r="V114" i="3"/>
  <c r="U114" i="3"/>
  <c r="T114" i="3"/>
  <c r="S114" i="3"/>
  <c r="R114" i="3"/>
  <c r="Q114" i="3"/>
  <c r="P114" i="3"/>
  <c r="O114" i="3"/>
  <c r="N114" i="3"/>
  <c r="M114" i="3"/>
  <c r="L114" i="3"/>
  <c r="K114" i="3"/>
  <c r="J114" i="3"/>
  <c r="I114" i="3"/>
  <c r="H114" i="3"/>
  <c r="G114" i="3"/>
  <c r="F114" i="3"/>
  <c r="E114" i="3"/>
  <c r="D114" i="3"/>
  <c r="W113" i="3"/>
  <c r="V113" i="3"/>
  <c r="U113" i="3"/>
  <c r="T113" i="3"/>
  <c r="S113" i="3"/>
  <c r="R113" i="3"/>
  <c r="Q113" i="3"/>
  <c r="P113" i="3"/>
  <c r="O113" i="3"/>
  <c r="N113" i="3"/>
  <c r="M113" i="3"/>
  <c r="L113" i="3"/>
  <c r="K113" i="3"/>
  <c r="J113" i="3"/>
  <c r="I113" i="3"/>
  <c r="H113" i="3"/>
  <c r="G113" i="3"/>
  <c r="F113" i="3"/>
  <c r="E113" i="3"/>
  <c r="D113" i="3"/>
  <c r="W112" i="3"/>
  <c r="V112" i="3"/>
  <c r="U112" i="3"/>
  <c r="T112" i="3"/>
  <c r="S112" i="3"/>
  <c r="R112" i="3"/>
  <c r="Q112" i="3"/>
  <c r="P112" i="3"/>
  <c r="O112" i="3"/>
  <c r="N112" i="3"/>
  <c r="M112" i="3"/>
  <c r="L112" i="3"/>
  <c r="K112" i="3"/>
  <c r="J112" i="3"/>
  <c r="I112" i="3"/>
  <c r="H112" i="3"/>
  <c r="G112" i="3"/>
  <c r="F112" i="3"/>
  <c r="E112" i="3"/>
  <c r="D112" i="3"/>
  <c r="W111" i="3"/>
  <c r="V111" i="3"/>
  <c r="U111" i="3"/>
  <c r="T111" i="3"/>
  <c r="S111" i="3"/>
  <c r="R111" i="3"/>
  <c r="Q111" i="3"/>
  <c r="P111" i="3"/>
  <c r="O111" i="3"/>
  <c r="N111" i="3"/>
  <c r="M111" i="3"/>
  <c r="L111" i="3"/>
  <c r="K111" i="3"/>
  <c r="J111" i="3"/>
  <c r="I111" i="3"/>
  <c r="H111" i="3"/>
  <c r="G111" i="3"/>
  <c r="F111" i="3"/>
  <c r="E111" i="3"/>
  <c r="D111" i="3"/>
  <c r="W110" i="3"/>
  <c r="V110" i="3"/>
  <c r="U110" i="3"/>
  <c r="T110" i="3"/>
  <c r="S110" i="3"/>
  <c r="R110" i="3"/>
  <c r="Q110" i="3"/>
  <c r="P110" i="3"/>
  <c r="O110" i="3"/>
  <c r="N110" i="3"/>
  <c r="M110" i="3"/>
  <c r="L110" i="3"/>
  <c r="K110" i="3"/>
  <c r="J110" i="3"/>
  <c r="I110" i="3"/>
  <c r="H110" i="3"/>
  <c r="G110" i="3"/>
  <c r="F110" i="3"/>
  <c r="E110" i="3"/>
  <c r="D110" i="3"/>
  <c r="W109" i="3"/>
  <c r="V109" i="3"/>
  <c r="U109" i="3"/>
  <c r="T109" i="3"/>
  <c r="S109" i="3"/>
  <c r="R109" i="3"/>
  <c r="Q109" i="3"/>
  <c r="P109" i="3"/>
  <c r="O109" i="3"/>
  <c r="N109" i="3"/>
  <c r="M109" i="3"/>
  <c r="L109" i="3"/>
  <c r="K109" i="3"/>
  <c r="J109" i="3"/>
  <c r="I109" i="3"/>
  <c r="H109" i="3"/>
  <c r="G109" i="3"/>
  <c r="F109" i="3"/>
  <c r="E109" i="3"/>
  <c r="D109" i="3"/>
  <c r="W108" i="3"/>
  <c r="V108" i="3"/>
  <c r="U108" i="3"/>
  <c r="T108" i="3"/>
  <c r="S108" i="3"/>
  <c r="R108" i="3"/>
  <c r="Q108" i="3"/>
  <c r="P108" i="3"/>
  <c r="O108" i="3"/>
  <c r="N108" i="3"/>
  <c r="M108" i="3"/>
  <c r="L108" i="3"/>
  <c r="K108" i="3"/>
  <c r="J108" i="3"/>
  <c r="I108" i="3"/>
  <c r="H108" i="3"/>
  <c r="G108" i="3"/>
  <c r="F108" i="3"/>
  <c r="E108" i="3"/>
  <c r="D108" i="3"/>
  <c r="W107" i="3"/>
  <c r="V107" i="3"/>
  <c r="U107" i="3"/>
  <c r="T107" i="3"/>
  <c r="S107" i="3"/>
  <c r="R107" i="3"/>
  <c r="Q107" i="3"/>
  <c r="P107" i="3"/>
  <c r="O107" i="3"/>
  <c r="N107" i="3"/>
  <c r="M107" i="3"/>
  <c r="L107" i="3"/>
  <c r="K107" i="3"/>
  <c r="J107" i="3"/>
  <c r="I107" i="3"/>
  <c r="H107" i="3"/>
  <c r="G107" i="3"/>
  <c r="F107" i="3"/>
  <c r="E107" i="3"/>
  <c r="D107" i="3"/>
  <c r="W106" i="3"/>
  <c r="V106" i="3"/>
  <c r="U106" i="3"/>
  <c r="T106" i="3"/>
  <c r="S106" i="3"/>
  <c r="R106" i="3"/>
  <c r="Q106" i="3"/>
  <c r="P106" i="3"/>
  <c r="O106" i="3"/>
  <c r="N106" i="3"/>
  <c r="M106" i="3"/>
  <c r="L106" i="3"/>
  <c r="K106" i="3"/>
  <c r="J106" i="3"/>
  <c r="I106" i="3"/>
  <c r="H106" i="3"/>
  <c r="G106" i="3"/>
  <c r="F106" i="3"/>
  <c r="E106" i="3"/>
  <c r="D106" i="3"/>
  <c r="W105" i="3"/>
  <c r="V105" i="3"/>
  <c r="U105" i="3"/>
  <c r="T105" i="3"/>
  <c r="S105" i="3"/>
  <c r="R105" i="3"/>
  <c r="Q105" i="3"/>
  <c r="P105" i="3"/>
  <c r="O105" i="3"/>
  <c r="N105" i="3"/>
  <c r="M105" i="3"/>
  <c r="L105" i="3"/>
  <c r="K105" i="3"/>
  <c r="J105" i="3"/>
  <c r="I105" i="3"/>
  <c r="H105" i="3"/>
  <c r="G105" i="3"/>
  <c r="F105" i="3"/>
  <c r="E105" i="3"/>
  <c r="D105" i="3"/>
  <c r="W104" i="3"/>
  <c r="V104" i="3"/>
  <c r="U104" i="3"/>
  <c r="T104" i="3"/>
  <c r="S104" i="3"/>
  <c r="R104" i="3"/>
  <c r="Q104" i="3"/>
  <c r="P104" i="3"/>
  <c r="O104" i="3"/>
  <c r="N104" i="3"/>
  <c r="M104" i="3"/>
  <c r="L104" i="3"/>
  <c r="K104" i="3"/>
  <c r="J104" i="3"/>
  <c r="I104" i="3"/>
  <c r="H104" i="3"/>
  <c r="G104" i="3"/>
  <c r="F104" i="3"/>
  <c r="E104" i="3"/>
  <c r="D104" i="3"/>
  <c r="W103" i="3"/>
  <c r="V103" i="3"/>
  <c r="U103" i="3"/>
  <c r="T103" i="3"/>
  <c r="S103" i="3"/>
  <c r="R103" i="3"/>
  <c r="Q103" i="3"/>
  <c r="P103" i="3"/>
  <c r="O103" i="3"/>
  <c r="N103" i="3"/>
  <c r="M103" i="3"/>
  <c r="L103" i="3"/>
  <c r="K103" i="3"/>
  <c r="J103" i="3"/>
  <c r="I103" i="3"/>
  <c r="H103" i="3"/>
  <c r="G103" i="3"/>
  <c r="F103" i="3"/>
  <c r="E103" i="3"/>
  <c r="D103" i="3"/>
  <c r="W102" i="3"/>
  <c r="V102" i="3"/>
  <c r="U102" i="3"/>
  <c r="T102" i="3"/>
  <c r="S102" i="3"/>
  <c r="R102" i="3"/>
  <c r="Q102" i="3"/>
  <c r="P102" i="3"/>
  <c r="O102" i="3"/>
  <c r="N102" i="3"/>
  <c r="M102" i="3"/>
  <c r="L102" i="3"/>
  <c r="K102" i="3"/>
  <c r="J102" i="3"/>
  <c r="I102" i="3"/>
  <c r="H102" i="3"/>
  <c r="G102" i="3"/>
  <c r="F102" i="3"/>
  <c r="E102" i="3"/>
  <c r="D102" i="3"/>
  <c r="W101" i="3"/>
  <c r="V101" i="3"/>
  <c r="U101" i="3"/>
  <c r="T101" i="3"/>
  <c r="S101" i="3"/>
  <c r="R101" i="3"/>
  <c r="Q101" i="3"/>
  <c r="P101" i="3"/>
  <c r="O101" i="3"/>
  <c r="N101" i="3"/>
  <c r="M101" i="3"/>
  <c r="L101" i="3"/>
  <c r="K101" i="3"/>
  <c r="J101" i="3"/>
  <c r="I101" i="3"/>
  <c r="H101" i="3"/>
  <c r="G101" i="3"/>
  <c r="F101" i="3"/>
  <c r="E101" i="3"/>
  <c r="D101" i="3"/>
  <c r="W100" i="3"/>
  <c r="V100" i="3"/>
  <c r="U100" i="3"/>
  <c r="T100" i="3"/>
  <c r="S100" i="3"/>
  <c r="R100" i="3"/>
  <c r="Q100" i="3"/>
  <c r="P100" i="3"/>
  <c r="O100" i="3"/>
  <c r="N100" i="3"/>
  <c r="M100" i="3"/>
  <c r="L100" i="3"/>
  <c r="K100" i="3"/>
  <c r="J100" i="3"/>
  <c r="I100" i="3"/>
  <c r="H100" i="3"/>
  <c r="G100" i="3"/>
  <c r="F100" i="3"/>
  <c r="E100" i="3"/>
  <c r="D100" i="3"/>
  <c r="W99" i="3"/>
  <c r="V99" i="3"/>
  <c r="U99" i="3"/>
  <c r="T99" i="3"/>
  <c r="S99" i="3"/>
  <c r="R99" i="3"/>
  <c r="Q99" i="3"/>
  <c r="P99" i="3"/>
  <c r="O99" i="3"/>
  <c r="N99" i="3"/>
  <c r="M99" i="3"/>
  <c r="L99" i="3"/>
  <c r="K99" i="3"/>
  <c r="J99" i="3"/>
  <c r="I99" i="3"/>
  <c r="H99" i="3"/>
  <c r="G99" i="3"/>
  <c r="F99" i="3"/>
  <c r="E99" i="3"/>
  <c r="D99" i="3"/>
  <c r="W98" i="3"/>
  <c r="V98" i="3"/>
  <c r="U98" i="3"/>
  <c r="T98" i="3"/>
  <c r="S98" i="3"/>
  <c r="R98" i="3"/>
  <c r="Q98" i="3"/>
  <c r="P98" i="3"/>
  <c r="O98" i="3"/>
  <c r="N98" i="3"/>
  <c r="M98" i="3"/>
  <c r="L98" i="3"/>
  <c r="K98" i="3"/>
  <c r="J98" i="3"/>
  <c r="I98" i="3"/>
  <c r="H98" i="3"/>
  <c r="G98" i="3"/>
  <c r="F98" i="3"/>
  <c r="E98" i="3"/>
  <c r="D98" i="3"/>
  <c r="W97" i="3"/>
  <c r="V97" i="3"/>
  <c r="U97" i="3"/>
  <c r="T97" i="3"/>
  <c r="S97" i="3"/>
  <c r="R97" i="3"/>
  <c r="Q97" i="3"/>
  <c r="P97" i="3"/>
  <c r="O97" i="3"/>
  <c r="N97" i="3"/>
  <c r="M97" i="3"/>
  <c r="L97" i="3"/>
  <c r="K97" i="3"/>
  <c r="J97" i="3"/>
  <c r="I97" i="3"/>
  <c r="H97" i="3"/>
  <c r="G97" i="3"/>
  <c r="F97" i="3"/>
  <c r="E97" i="3"/>
  <c r="D97" i="3"/>
  <c r="W96" i="3"/>
  <c r="V96" i="3"/>
  <c r="U96" i="3"/>
  <c r="T96" i="3"/>
  <c r="S96" i="3"/>
  <c r="R96" i="3"/>
  <c r="Q96" i="3"/>
  <c r="P96" i="3"/>
  <c r="O96" i="3"/>
  <c r="N96" i="3"/>
  <c r="M96" i="3"/>
  <c r="L96" i="3"/>
  <c r="K96" i="3"/>
  <c r="J96" i="3"/>
  <c r="I96" i="3"/>
  <c r="H96" i="3"/>
  <c r="G96" i="3"/>
  <c r="F96" i="3"/>
  <c r="E96" i="3"/>
  <c r="D96" i="3"/>
  <c r="W95" i="3"/>
  <c r="V95" i="3"/>
  <c r="U95" i="3"/>
  <c r="T95" i="3"/>
  <c r="S95" i="3"/>
  <c r="R95" i="3"/>
  <c r="Q95" i="3"/>
  <c r="P95" i="3"/>
  <c r="O95" i="3"/>
  <c r="N95" i="3"/>
  <c r="M95" i="3"/>
  <c r="L95" i="3"/>
  <c r="K95" i="3"/>
  <c r="J95" i="3"/>
  <c r="I95" i="3"/>
  <c r="H95" i="3"/>
  <c r="G95" i="3"/>
  <c r="F95" i="3"/>
  <c r="E95" i="3"/>
  <c r="D95" i="3"/>
  <c r="W94" i="3"/>
  <c r="V94" i="3"/>
  <c r="U94" i="3"/>
  <c r="T94" i="3"/>
  <c r="S94" i="3"/>
  <c r="R94" i="3"/>
  <c r="Q94" i="3"/>
  <c r="P94" i="3"/>
  <c r="O94" i="3"/>
  <c r="N94" i="3"/>
  <c r="M94" i="3"/>
  <c r="L94" i="3"/>
  <c r="K94" i="3"/>
  <c r="J94" i="3"/>
  <c r="I94" i="3"/>
  <c r="H94" i="3"/>
  <c r="G94" i="3"/>
  <c r="F94" i="3"/>
  <c r="E94" i="3"/>
  <c r="D94" i="3"/>
  <c r="W93" i="3"/>
  <c r="V93" i="3"/>
  <c r="U93" i="3"/>
  <c r="T93" i="3"/>
  <c r="S93" i="3"/>
  <c r="R93" i="3"/>
  <c r="Q93" i="3"/>
  <c r="P93" i="3"/>
  <c r="O93" i="3"/>
  <c r="N93" i="3"/>
  <c r="M93" i="3"/>
  <c r="L93" i="3"/>
  <c r="K93" i="3"/>
  <c r="J93" i="3"/>
  <c r="I93" i="3"/>
  <c r="H93" i="3"/>
  <c r="G93" i="3"/>
  <c r="F93" i="3"/>
  <c r="E93" i="3"/>
  <c r="D93" i="3"/>
  <c r="W92" i="3"/>
  <c r="V92" i="3"/>
  <c r="U92" i="3"/>
  <c r="T92" i="3"/>
  <c r="S92" i="3"/>
  <c r="R92" i="3"/>
  <c r="Q92" i="3"/>
  <c r="P92" i="3"/>
  <c r="O92" i="3"/>
  <c r="N92" i="3"/>
  <c r="M92" i="3"/>
  <c r="L92" i="3"/>
  <c r="K92" i="3"/>
  <c r="J92" i="3"/>
  <c r="I92" i="3"/>
  <c r="H92" i="3"/>
  <c r="G92" i="3"/>
  <c r="F92" i="3"/>
  <c r="E92" i="3"/>
  <c r="D92" i="3"/>
  <c r="W91" i="3"/>
  <c r="V91" i="3"/>
  <c r="U91" i="3"/>
  <c r="T91" i="3"/>
  <c r="S91" i="3"/>
  <c r="R91" i="3"/>
  <c r="Q91" i="3"/>
  <c r="P91" i="3"/>
  <c r="O91" i="3"/>
  <c r="N91" i="3"/>
  <c r="M91" i="3"/>
  <c r="L91" i="3"/>
  <c r="K91" i="3"/>
  <c r="J91" i="3"/>
  <c r="I91" i="3"/>
  <c r="H91" i="3"/>
  <c r="G91" i="3"/>
  <c r="F91" i="3"/>
  <c r="E91" i="3"/>
  <c r="D91" i="3"/>
  <c r="W90" i="3"/>
  <c r="V90" i="3"/>
  <c r="U90" i="3"/>
  <c r="T90" i="3"/>
  <c r="S90" i="3"/>
  <c r="R90" i="3"/>
  <c r="Q90" i="3"/>
  <c r="P90" i="3"/>
  <c r="O90" i="3"/>
  <c r="N90" i="3"/>
  <c r="M90" i="3"/>
  <c r="L90" i="3"/>
  <c r="K90" i="3"/>
  <c r="J90" i="3"/>
  <c r="I90" i="3"/>
  <c r="H90" i="3"/>
  <c r="G90" i="3"/>
  <c r="F90" i="3"/>
  <c r="E90" i="3"/>
  <c r="D90" i="3"/>
  <c r="W89" i="3"/>
  <c r="V89" i="3"/>
  <c r="U89" i="3"/>
  <c r="T89" i="3"/>
  <c r="S89" i="3"/>
  <c r="R89" i="3"/>
  <c r="Q89" i="3"/>
  <c r="P89" i="3"/>
  <c r="O89" i="3"/>
  <c r="N89" i="3"/>
  <c r="M89" i="3"/>
  <c r="L89" i="3"/>
  <c r="K89" i="3"/>
  <c r="J89" i="3"/>
  <c r="I89" i="3"/>
  <c r="H89" i="3"/>
  <c r="G89" i="3"/>
  <c r="F89" i="3"/>
  <c r="E89" i="3"/>
  <c r="D89" i="3"/>
  <c r="W88" i="3"/>
  <c r="V88" i="3"/>
  <c r="U88" i="3"/>
  <c r="T88" i="3"/>
  <c r="S88" i="3"/>
  <c r="R88" i="3"/>
  <c r="Q88" i="3"/>
  <c r="P88" i="3"/>
  <c r="O88" i="3"/>
  <c r="N88" i="3"/>
  <c r="M88" i="3"/>
  <c r="L88" i="3"/>
  <c r="K88" i="3"/>
  <c r="J88" i="3"/>
  <c r="I88" i="3"/>
  <c r="H88" i="3"/>
  <c r="G88" i="3"/>
  <c r="F88" i="3"/>
  <c r="E88" i="3"/>
  <c r="D88" i="3"/>
  <c r="W87" i="3"/>
  <c r="V87" i="3"/>
  <c r="U87" i="3"/>
  <c r="T87" i="3"/>
  <c r="S87" i="3"/>
  <c r="R87" i="3"/>
  <c r="Q87" i="3"/>
  <c r="P87" i="3"/>
  <c r="O87" i="3"/>
  <c r="N87" i="3"/>
  <c r="M87" i="3"/>
  <c r="L87" i="3"/>
  <c r="K87" i="3"/>
  <c r="J87" i="3"/>
  <c r="I87" i="3"/>
  <c r="H87" i="3"/>
  <c r="G87" i="3"/>
  <c r="F87" i="3"/>
  <c r="E87" i="3"/>
  <c r="D87" i="3"/>
  <c r="W86" i="3"/>
  <c r="V86" i="3"/>
  <c r="U86" i="3"/>
  <c r="T86" i="3"/>
  <c r="S86" i="3"/>
  <c r="R86" i="3"/>
  <c r="Q86" i="3"/>
  <c r="P86" i="3"/>
  <c r="O86" i="3"/>
  <c r="N86" i="3"/>
  <c r="M86" i="3"/>
  <c r="L86" i="3"/>
  <c r="K86" i="3"/>
  <c r="J86" i="3"/>
  <c r="I86" i="3"/>
  <c r="H86" i="3"/>
  <c r="G86" i="3"/>
  <c r="F86" i="3"/>
  <c r="E86" i="3"/>
  <c r="D86" i="3"/>
  <c r="W85" i="3"/>
  <c r="V85" i="3"/>
  <c r="U85" i="3"/>
  <c r="T85" i="3"/>
  <c r="S85" i="3"/>
  <c r="R85" i="3"/>
  <c r="Q85" i="3"/>
  <c r="P85" i="3"/>
  <c r="O85" i="3"/>
  <c r="N85" i="3"/>
  <c r="M85" i="3"/>
  <c r="L85" i="3"/>
  <c r="K85" i="3"/>
  <c r="J85" i="3"/>
  <c r="I85" i="3"/>
  <c r="H85" i="3"/>
  <c r="G85" i="3"/>
  <c r="F85" i="3"/>
  <c r="E85" i="3"/>
  <c r="D85" i="3"/>
  <c r="W84" i="3"/>
  <c r="V84" i="3"/>
  <c r="U84" i="3"/>
  <c r="T84" i="3"/>
  <c r="S84" i="3"/>
  <c r="R84" i="3"/>
  <c r="Q84" i="3"/>
  <c r="P84" i="3"/>
  <c r="O84" i="3"/>
  <c r="N84" i="3"/>
  <c r="M84" i="3"/>
  <c r="L84" i="3"/>
  <c r="K84" i="3"/>
  <c r="J84" i="3"/>
  <c r="I84" i="3"/>
  <c r="H84" i="3"/>
  <c r="G84" i="3"/>
  <c r="F84" i="3"/>
  <c r="E84" i="3"/>
  <c r="D84" i="3"/>
  <c r="W83" i="3"/>
  <c r="V83" i="3"/>
  <c r="U83" i="3"/>
  <c r="T83" i="3"/>
  <c r="S83" i="3"/>
  <c r="R83" i="3"/>
  <c r="Q83" i="3"/>
  <c r="P83" i="3"/>
  <c r="O83" i="3"/>
  <c r="N83" i="3"/>
  <c r="M83" i="3"/>
  <c r="L83" i="3"/>
  <c r="K83" i="3"/>
  <c r="J83" i="3"/>
  <c r="I83" i="3"/>
  <c r="H83" i="3"/>
  <c r="G83" i="3"/>
  <c r="F83" i="3"/>
  <c r="E83" i="3"/>
  <c r="D83" i="3"/>
  <c r="W82" i="3"/>
  <c r="V82" i="3"/>
  <c r="U82" i="3"/>
  <c r="T82" i="3"/>
  <c r="S82" i="3"/>
  <c r="R82" i="3"/>
  <c r="Q82" i="3"/>
  <c r="P82" i="3"/>
  <c r="O82" i="3"/>
  <c r="N82" i="3"/>
  <c r="M82" i="3"/>
  <c r="L82" i="3"/>
  <c r="K82" i="3"/>
  <c r="J82" i="3"/>
  <c r="I82" i="3"/>
  <c r="H82" i="3"/>
  <c r="G82" i="3"/>
  <c r="F82" i="3"/>
  <c r="E82" i="3"/>
  <c r="D82" i="3"/>
  <c r="W81" i="3"/>
  <c r="V81" i="3"/>
  <c r="U81" i="3"/>
  <c r="T81" i="3"/>
  <c r="S81" i="3"/>
  <c r="R81" i="3"/>
  <c r="Q81" i="3"/>
  <c r="P81" i="3"/>
  <c r="O81" i="3"/>
  <c r="N81" i="3"/>
  <c r="M81" i="3"/>
  <c r="L81" i="3"/>
  <c r="K81" i="3"/>
  <c r="J81" i="3"/>
  <c r="I81" i="3"/>
  <c r="H81" i="3"/>
  <c r="G81" i="3"/>
  <c r="F81" i="3"/>
  <c r="E81" i="3"/>
  <c r="D81" i="3"/>
  <c r="W80" i="3"/>
  <c r="V80" i="3"/>
  <c r="U80" i="3"/>
  <c r="T80" i="3"/>
  <c r="S80" i="3"/>
  <c r="R80" i="3"/>
  <c r="Q80" i="3"/>
  <c r="P80" i="3"/>
  <c r="O80" i="3"/>
  <c r="N80" i="3"/>
  <c r="M80" i="3"/>
  <c r="L80" i="3"/>
  <c r="K80" i="3"/>
  <c r="J80" i="3"/>
  <c r="I80" i="3"/>
  <c r="H80" i="3"/>
  <c r="G80" i="3"/>
  <c r="F80" i="3"/>
  <c r="E80" i="3"/>
  <c r="D80" i="3"/>
  <c r="W79" i="3"/>
  <c r="V79" i="3"/>
  <c r="U79" i="3"/>
  <c r="T79" i="3"/>
  <c r="S79" i="3"/>
  <c r="R79" i="3"/>
  <c r="Q79" i="3"/>
  <c r="P79" i="3"/>
  <c r="O79" i="3"/>
  <c r="N79" i="3"/>
  <c r="M79" i="3"/>
  <c r="L79" i="3"/>
  <c r="K79" i="3"/>
  <c r="J79" i="3"/>
  <c r="I79" i="3"/>
  <c r="H79" i="3"/>
  <c r="G79" i="3"/>
  <c r="F79" i="3"/>
  <c r="E79" i="3"/>
  <c r="D79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D80" i="2"/>
  <c r="E80" i="2"/>
  <c r="F80" i="2"/>
  <c r="G80" i="2"/>
  <c r="H80" i="2"/>
  <c r="I80" i="2"/>
  <c r="J80" i="2"/>
  <c r="K80" i="2"/>
  <c r="L80" i="2"/>
  <c r="M80" i="2"/>
  <c r="N80" i="2"/>
  <c r="O80" i="2"/>
  <c r="P80" i="2"/>
  <c r="Q80" i="2"/>
  <c r="R80" i="2"/>
  <c r="S80" i="2"/>
  <c r="T80" i="2"/>
  <c r="U80" i="2"/>
  <c r="V80" i="2"/>
  <c r="W80" i="2"/>
  <c r="D81" i="2"/>
  <c r="E81" i="2"/>
  <c r="F81" i="2"/>
  <c r="G81" i="2"/>
  <c r="H81" i="2"/>
  <c r="I81" i="2"/>
  <c r="J81" i="2"/>
  <c r="K81" i="2"/>
  <c r="L81" i="2"/>
  <c r="M81" i="2"/>
  <c r="N81" i="2"/>
  <c r="O81" i="2"/>
  <c r="P81" i="2"/>
  <c r="Q81" i="2"/>
  <c r="R81" i="2"/>
  <c r="S81" i="2"/>
  <c r="T81" i="2"/>
  <c r="U81" i="2"/>
  <c r="V81" i="2"/>
  <c r="W81" i="2"/>
  <c r="D82" i="2"/>
  <c r="E82" i="2"/>
  <c r="F82" i="2"/>
  <c r="G82" i="2"/>
  <c r="H82" i="2"/>
  <c r="I82" i="2"/>
  <c r="J82" i="2"/>
  <c r="K82" i="2"/>
  <c r="L82" i="2"/>
  <c r="M82" i="2"/>
  <c r="N82" i="2"/>
  <c r="O82" i="2"/>
  <c r="P82" i="2"/>
  <c r="Q82" i="2"/>
  <c r="R82" i="2"/>
  <c r="S82" i="2"/>
  <c r="T82" i="2"/>
  <c r="U82" i="2"/>
  <c r="V82" i="2"/>
  <c r="W82" i="2"/>
  <c r="D83" i="2"/>
  <c r="E83" i="2"/>
  <c r="F83" i="2"/>
  <c r="G83" i="2"/>
  <c r="H83" i="2"/>
  <c r="I83" i="2"/>
  <c r="J83" i="2"/>
  <c r="K83" i="2"/>
  <c r="L83" i="2"/>
  <c r="M83" i="2"/>
  <c r="N83" i="2"/>
  <c r="O83" i="2"/>
  <c r="P83" i="2"/>
  <c r="Q83" i="2"/>
  <c r="R83" i="2"/>
  <c r="S83" i="2"/>
  <c r="T83" i="2"/>
  <c r="U83" i="2"/>
  <c r="V83" i="2"/>
  <c r="W83" i="2"/>
  <c r="D84" i="2"/>
  <c r="E84" i="2"/>
  <c r="F84" i="2"/>
  <c r="G84" i="2"/>
  <c r="H84" i="2"/>
  <c r="I84" i="2"/>
  <c r="J84" i="2"/>
  <c r="K84" i="2"/>
  <c r="L84" i="2"/>
  <c r="M84" i="2"/>
  <c r="N84" i="2"/>
  <c r="O84" i="2"/>
  <c r="P84" i="2"/>
  <c r="Q84" i="2"/>
  <c r="R84" i="2"/>
  <c r="S84" i="2"/>
  <c r="T84" i="2"/>
  <c r="U84" i="2"/>
  <c r="V84" i="2"/>
  <c r="W84" i="2"/>
  <c r="D85" i="2"/>
  <c r="E85" i="2"/>
  <c r="F85" i="2"/>
  <c r="G85" i="2"/>
  <c r="H85" i="2"/>
  <c r="I85" i="2"/>
  <c r="J85" i="2"/>
  <c r="K85" i="2"/>
  <c r="L85" i="2"/>
  <c r="M85" i="2"/>
  <c r="N85" i="2"/>
  <c r="O85" i="2"/>
  <c r="P85" i="2"/>
  <c r="Q85" i="2"/>
  <c r="R85" i="2"/>
  <c r="S85" i="2"/>
  <c r="T85" i="2"/>
  <c r="U85" i="2"/>
  <c r="V85" i="2"/>
  <c r="W85" i="2"/>
  <c r="D86" i="2"/>
  <c r="E86" i="2"/>
  <c r="F86" i="2"/>
  <c r="G86" i="2"/>
  <c r="H86" i="2"/>
  <c r="I86" i="2"/>
  <c r="J86" i="2"/>
  <c r="K86" i="2"/>
  <c r="L86" i="2"/>
  <c r="M86" i="2"/>
  <c r="N86" i="2"/>
  <c r="O86" i="2"/>
  <c r="P86" i="2"/>
  <c r="Q86" i="2"/>
  <c r="R86" i="2"/>
  <c r="S86" i="2"/>
  <c r="T86" i="2"/>
  <c r="U86" i="2"/>
  <c r="V86" i="2"/>
  <c r="W86" i="2"/>
  <c r="D87" i="2"/>
  <c r="E87" i="2"/>
  <c r="F87" i="2"/>
  <c r="G87" i="2"/>
  <c r="H87" i="2"/>
  <c r="I87" i="2"/>
  <c r="J87" i="2"/>
  <c r="K87" i="2"/>
  <c r="L87" i="2"/>
  <c r="M87" i="2"/>
  <c r="N87" i="2"/>
  <c r="O87" i="2"/>
  <c r="P87" i="2"/>
  <c r="Q87" i="2"/>
  <c r="R87" i="2"/>
  <c r="S87" i="2"/>
  <c r="T87" i="2"/>
  <c r="U87" i="2"/>
  <c r="V87" i="2"/>
  <c r="W87" i="2"/>
  <c r="D88" i="2"/>
  <c r="E88" i="2"/>
  <c r="F88" i="2"/>
  <c r="G88" i="2"/>
  <c r="H88" i="2"/>
  <c r="I88" i="2"/>
  <c r="J88" i="2"/>
  <c r="K88" i="2"/>
  <c r="L88" i="2"/>
  <c r="M88" i="2"/>
  <c r="N88" i="2"/>
  <c r="O88" i="2"/>
  <c r="P88" i="2"/>
  <c r="Q88" i="2"/>
  <c r="R88" i="2"/>
  <c r="S88" i="2"/>
  <c r="T88" i="2"/>
  <c r="U88" i="2"/>
  <c r="V88" i="2"/>
  <c r="W88" i="2"/>
  <c r="D89" i="2"/>
  <c r="E89" i="2"/>
  <c r="F89" i="2"/>
  <c r="G89" i="2"/>
  <c r="H89" i="2"/>
  <c r="I89" i="2"/>
  <c r="J89" i="2"/>
  <c r="K89" i="2"/>
  <c r="L89" i="2"/>
  <c r="M89" i="2"/>
  <c r="N89" i="2"/>
  <c r="O89" i="2"/>
  <c r="P89" i="2"/>
  <c r="Q89" i="2"/>
  <c r="R89" i="2"/>
  <c r="S89" i="2"/>
  <c r="T89" i="2"/>
  <c r="U89" i="2"/>
  <c r="V89" i="2"/>
  <c r="W89" i="2"/>
  <c r="D90" i="2"/>
  <c r="E90" i="2"/>
  <c r="F90" i="2"/>
  <c r="G90" i="2"/>
  <c r="H90" i="2"/>
  <c r="I90" i="2"/>
  <c r="J90" i="2"/>
  <c r="K90" i="2"/>
  <c r="L90" i="2"/>
  <c r="M90" i="2"/>
  <c r="N90" i="2"/>
  <c r="O90" i="2"/>
  <c r="P90" i="2"/>
  <c r="Q90" i="2"/>
  <c r="R90" i="2"/>
  <c r="S90" i="2"/>
  <c r="T90" i="2"/>
  <c r="U90" i="2"/>
  <c r="V90" i="2"/>
  <c r="W90" i="2"/>
  <c r="D91" i="2"/>
  <c r="E91" i="2"/>
  <c r="F91" i="2"/>
  <c r="G91" i="2"/>
  <c r="H91" i="2"/>
  <c r="I91" i="2"/>
  <c r="J91" i="2"/>
  <c r="K91" i="2"/>
  <c r="L91" i="2"/>
  <c r="M91" i="2"/>
  <c r="N91" i="2"/>
  <c r="O91" i="2"/>
  <c r="P91" i="2"/>
  <c r="Q91" i="2"/>
  <c r="R91" i="2"/>
  <c r="S91" i="2"/>
  <c r="T91" i="2"/>
  <c r="U91" i="2"/>
  <c r="V91" i="2"/>
  <c r="W91" i="2"/>
  <c r="D92" i="2"/>
  <c r="E92" i="2"/>
  <c r="F92" i="2"/>
  <c r="G92" i="2"/>
  <c r="H92" i="2"/>
  <c r="I92" i="2"/>
  <c r="J92" i="2"/>
  <c r="K92" i="2"/>
  <c r="L92" i="2"/>
  <c r="M92" i="2"/>
  <c r="N92" i="2"/>
  <c r="O92" i="2"/>
  <c r="P92" i="2"/>
  <c r="Q92" i="2"/>
  <c r="R92" i="2"/>
  <c r="S92" i="2"/>
  <c r="T92" i="2"/>
  <c r="U92" i="2"/>
  <c r="V92" i="2"/>
  <c r="W92" i="2"/>
  <c r="D93" i="2"/>
  <c r="E93" i="2"/>
  <c r="F93" i="2"/>
  <c r="G93" i="2"/>
  <c r="H93" i="2"/>
  <c r="I93" i="2"/>
  <c r="J93" i="2"/>
  <c r="K93" i="2"/>
  <c r="L93" i="2"/>
  <c r="M93" i="2"/>
  <c r="N93" i="2"/>
  <c r="O93" i="2"/>
  <c r="P93" i="2"/>
  <c r="Q93" i="2"/>
  <c r="R93" i="2"/>
  <c r="S93" i="2"/>
  <c r="T93" i="2"/>
  <c r="U93" i="2"/>
  <c r="V93" i="2"/>
  <c r="W93" i="2"/>
  <c r="D94" i="2"/>
  <c r="E94" i="2"/>
  <c r="F94" i="2"/>
  <c r="G94" i="2"/>
  <c r="H94" i="2"/>
  <c r="I94" i="2"/>
  <c r="J94" i="2"/>
  <c r="K94" i="2"/>
  <c r="L94" i="2"/>
  <c r="M94" i="2"/>
  <c r="N94" i="2"/>
  <c r="O94" i="2"/>
  <c r="P94" i="2"/>
  <c r="Q94" i="2"/>
  <c r="R94" i="2"/>
  <c r="S94" i="2"/>
  <c r="T94" i="2"/>
  <c r="U94" i="2"/>
  <c r="V94" i="2"/>
  <c r="W94" i="2"/>
  <c r="D95" i="2"/>
  <c r="E95" i="2"/>
  <c r="F95" i="2"/>
  <c r="G95" i="2"/>
  <c r="H95" i="2"/>
  <c r="I95" i="2"/>
  <c r="J95" i="2"/>
  <c r="K95" i="2"/>
  <c r="L95" i="2"/>
  <c r="M95" i="2"/>
  <c r="N95" i="2"/>
  <c r="O95" i="2"/>
  <c r="P95" i="2"/>
  <c r="Q95" i="2"/>
  <c r="R95" i="2"/>
  <c r="S95" i="2"/>
  <c r="T95" i="2"/>
  <c r="U95" i="2"/>
  <c r="V95" i="2"/>
  <c r="W95" i="2"/>
  <c r="D96" i="2"/>
  <c r="E96" i="2"/>
  <c r="F96" i="2"/>
  <c r="G96" i="2"/>
  <c r="H96" i="2"/>
  <c r="I96" i="2"/>
  <c r="J96" i="2"/>
  <c r="K96" i="2"/>
  <c r="L96" i="2"/>
  <c r="M96" i="2"/>
  <c r="O96" i="2"/>
  <c r="P96" i="2"/>
  <c r="Q96" i="2"/>
  <c r="R96" i="2"/>
  <c r="S96" i="2"/>
  <c r="T96" i="2"/>
  <c r="U96" i="2"/>
  <c r="V96" i="2"/>
  <c r="W96" i="2"/>
  <c r="D97" i="2"/>
  <c r="E97" i="2"/>
  <c r="F97" i="2"/>
  <c r="G97" i="2"/>
  <c r="H97" i="2"/>
  <c r="I97" i="2"/>
  <c r="J97" i="2"/>
  <c r="K97" i="2"/>
  <c r="L97" i="2"/>
  <c r="M97" i="2"/>
  <c r="N97" i="2"/>
  <c r="O97" i="2"/>
  <c r="P97" i="2"/>
  <c r="Q97" i="2"/>
  <c r="R97" i="2"/>
  <c r="S97" i="2"/>
  <c r="T97" i="2"/>
  <c r="U97" i="2"/>
  <c r="V97" i="2"/>
  <c r="W97" i="2"/>
  <c r="D98" i="2"/>
  <c r="E98" i="2"/>
  <c r="F98" i="2"/>
  <c r="G98" i="2"/>
  <c r="H98" i="2"/>
  <c r="I98" i="2"/>
  <c r="J98" i="2"/>
  <c r="K98" i="2"/>
  <c r="L98" i="2"/>
  <c r="M98" i="2"/>
  <c r="N98" i="2"/>
  <c r="O98" i="2"/>
  <c r="P98" i="2"/>
  <c r="Q98" i="2"/>
  <c r="R98" i="2"/>
  <c r="S98" i="2"/>
  <c r="T98" i="2"/>
  <c r="U98" i="2"/>
  <c r="V98" i="2"/>
  <c r="W98" i="2"/>
  <c r="D99" i="2"/>
  <c r="E99" i="2"/>
  <c r="F99" i="2"/>
  <c r="G99" i="2"/>
  <c r="H99" i="2"/>
  <c r="I99" i="2"/>
  <c r="J99" i="2"/>
  <c r="K99" i="2"/>
  <c r="L99" i="2"/>
  <c r="M99" i="2"/>
  <c r="N99" i="2"/>
  <c r="O99" i="2"/>
  <c r="P99" i="2"/>
  <c r="Q99" i="2"/>
  <c r="R99" i="2"/>
  <c r="S99" i="2"/>
  <c r="T99" i="2"/>
  <c r="U99" i="2"/>
  <c r="V99" i="2"/>
  <c r="W99" i="2"/>
  <c r="D100" i="2"/>
  <c r="E100" i="2"/>
  <c r="F100" i="2"/>
  <c r="G100" i="2"/>
  <c r="H100" i="2"/>
  <c r="I100" i="2"/>
  <c r="J100" i="2"/>
  <c r="K100" i="2"/>
  <c r="L100" i="2"/>
  <c r="M100" i="2"/>
  <c r="N100" i="2"/>
  <c r="O100" i="2"/>
  <c r="P100" i="2"/>
  <c r="Q100" i="2"/>
  <c r="R100" i="2"/>
  <c r="S100" i="2"/>
  <c r="T100" i="2"/>
  <c r="U100" i="2"/>
  <c r="V100" i="2"/>
  <c r="W100" i="2"/>
  <c r="D101" i="2"/>
  <c r="E101" i="2"/>
  <c r="F101" i="2"/>
  <c r="G101" i="2"/>
  <c r="H101" i="2"/>
  <c r="I101" i="2"/>
  <c r="J101" i="2"/>
  <c r="K101" i="2"/>
  <c r="L101" i="2"/>
  <c r="M101" i="2"/>
  <c r="N101" i="2"/>
  <c r="O101" i="2"/>
  <c r="P101" i="2"/>
  <c r="Q101" i="2"/>
  <c r="R101" i="2"/>
  <c r="S101" i="2"/>
  <c r="T101" i="2"/>
  <c r="U101" i="2"/>
  <c r="V101" i="2"/>
  <c r="W101" i="2"/>
  <c r="D102" i="2"/>
  <c r="E102" i="2"/>
  <c r="F102" i="2"/>
  <c r="G102" i="2"/>
  <c r="H102" i="2"/>
  <c r="I102" i="2"/>
  <c r="J102" i="2"/>
  <c r="K102" i="2"/>
  <c r="L102" i="2"/>
  <c r="M102" i="2"/>
  <c r="N102" i="2"/>
  <c r="O102" i="2"/>
  <c r="P102" i="2"/>
  <c r="Q102" i="2"/>
  <c r="R102" i="2"/>
  <c r="S102" i="2"/>
  <c r="T102" i="2"/>
  <c r="U102" i="2"/>
  <c r="V102" i="2"/>
  <c r="W102" i="2"/>
  <c r="D103" i="2"/>
  <c r="E103" i="2"/>
  <c r="F103" i="2"/>
  <c r="G103" i="2"/>
  <c r="H103" i="2"/>
  <c r="I103" i="2"/>
  <c r="J103" i="2"/>
  <c r="K103" i="2"/>
  <c r="L103" i="2"/>
  <c r="M103" i="2"/>
  <c r="N103" i="2"/>
  <c r="O103" i="2"/>
  <c r="P103" i="2"/>
  <c r="Q103" i="2"/>
  <c r="R103" i="2"/>
  <c r="S103" i="2"/>
  <c r="T103" i="2"/>
  <c r="U103" i="2"/>
  <c r="V103" i="2"/>
  <c r="W103" i="2"/>
  <c r="D104" i="2"/>
  <c r="E104" i="2"/>
  <c r="F104" i="2"/>
  <c r="G104" i="2"/>
  <c r="H104" i="2"/>
  <c r="I104" i="2"/>
  <c r="J104" i="2"/>
  <c r="K104" i="2"/>
  <c r="L104" i="2"/>
  <c r="M104" i="2"/>
  <c r="N104" i="2"/>
  <c r="O104" i="2"/>
  <c r="P104" i="2"/>
  <c r="Q104" i="2"/>
  <c r="R104" i="2"/>
  <c r="S104" i="2"/>
  <c r="T104" i="2"/>
  <c r="U104" i="2"/>
  <c r="V104" i="2"/>
  <c r="W104" i="2"/>
  <c r="D105" i="2"/>
  <c r="E105" i="2"/>
  <c r="F105" i="2"/>
  <c r="G105" i="2"/>
  <c r="H105" i="2"/>
  <c r="I105" i="2"/>
  <c r="J105" i="2"/>
  <c r="K105" i="2"/>
  <c r="L105" i="2"/>
  <c r="M105" i="2"/>
  <c r="N105" i="2"/>
  <c r="O105" i="2"/>
  <c r="P105" i="2"/>
  <c r="Q105" i="2"/>
  <c r="R105" i="2"/>
  <c r="S105" i="2"/>
  <c r="T105" i="2"/>
  <c r="U105" i="2"/>
  <c r="V105" i="2"/>
  <c r="W105" i="2"/>
  <c r="D106" i="2"/>
  <c r="E106" i="2"/>
  <c r="F106" i="2"/>
  <c r="G106" i="2"/>
  <c r="H106" i="2"/>
  <c r="I106" i="2"/>
  <c r="J106" i="2"/>
  <c r="K106" i="2"/>
  <c r="L106" i="2"/>
  <c r="M106" i="2"/>
  <c r="N106" i="2"/>
  <c r="O106" i="2"/>
  <c r="P106" i="2"/>
  <c r="Q106" i="2"/>
  <c r="R106" i="2"/>
  <c r="S106" i="2"/>
  <c r="T106" i="2"/>
  <c r="U106" i="2"/>
  <c r="V106" i="2"/>
  <c r="W106" i="2"/>
  <c r="D107" i="2"/>
  <c r="E107" i="2"/>
  <c r="F107" i="2"/>
  <c r="G107" i="2"/>
  <c r="H107" i="2"/>
  <c r="I107" i="2"/>
  <c r="J107" i="2"/>
  <c r="K107" i="2"/>
  <c r="L107" i="2"/>
  <c r="M107" i="2"/>
  <c r="N107" i="2"/>
  <c r="O107" i="2"/>
  <c r="P107" i="2"/>
  <c r="Q107" i="2"/>
  <c r="R107" i="2"/>
  <c r="S107" i="2"/>
  <c r="T107" i="2"/>
  <c r="U107" i="2"/>
  <c r="V107" i="2"/>
  <c r="W107" i="2"/>
  <c r="D108" i="2"/>
  <c r="E108" i="2"/>
  <c r="F108" i="2"/>
  <c r="G108" i="2"/>
  <c r="H108" i="2"/>
  <c r="I108" i="2"/>
  <c r="J108" i="2"/>
  <c r="K108" i="2"/>
  <c r="L108" i="2"/>
  <c r="M108" i="2"/>
  <c r="N108" i="2"/>
  <c r="O108" i="2"/>
  <c r="P108" i="2"/>
  <c r="Q108" i="2"/>
  <c r="R108" i="2"/>
  <c r="S108" i="2"/>
  <c r="T108" i="2"/>
  <c r="U108" i="2"/>
  <c r="V108" i="2"/>
  <c r="W108" i="2"/>
  <c r="D109" i="2"/>
  <c r="E109" i="2"/>
  <c r="F109" i="2"/>
  <c r="G109" i="2"/>
  <c r="H109" i="2"/>
  <c r="I109" i="2"/>
  <c r="J109" i="2"/>
  <c r="K109" i="2"/>
  <c r="L109" i="2"/>
  <c r="M109" i="2"/>
  <c r="N109" i="2"/>
  <c r="O109" i="2"/>
  <c r="P109" i="2"/>
  <c r="Q109" i="2"/>
  <c r="R109" i="2"/>
  <c r="S109" i="2"/>
  <c r="T109" i="2"/>
  <c r="U109" i="2"/>
  <c r="V109" i="2"/>
  <c r="W109" i="2"/>
  <c r="D110" i="2"/>
  <c r="E110" i="2"/>
  <c r="F110" i="2"/>
  <c r="G110" i="2"/>
  <c r="H110" i="2"/>
  <c r="I110" i="2"/>
  <c r="J110" i="2"/>
  <c r="K110" i="2"/>
  <c r="L110" i="2"/>
  <c r="M110" i="2"/>
  <c r="N110" i="2"/>
  <c r="O110" i="2"/>
  <c r="P110" i="2"/>
  <c r="Q110" i="2"/>
  <c r="R110" i="2"/>
  <c r="S110" i="2"/>
  <c r="T110" i="2"/>
  <c r="U110" i="2"/>
  <c r="V110" i="2"/>
  <c r="W110" i="2"/>
  <c r="D111" i="2"/>
  <c r="E111" i="2"/>
  <c r="F111" i="2"/>
  <c r="G111" i="2"/>
  <c r="H111" i="2"/>
  <c r="I111" i="2"/>
  <c r="J111" i="2"/>
  <c r="K111" i="2"/>
  <c r="L111" i="2"/>
  <c r="M111" i="2"/>
  <c r="N111" i="2"/>
  <c r="O111" i="2"/>
  <c r="P111" i="2"/>
  <c r="Q111" i="2"/>
  <c r="R111" i="2"/>
  <c r="S111" i="2"/>
  <c r="T111" i="2"/>
  <c r="U111" i="2"/>
  <c r="V111" i="2"/>
  <c r="W111" i="2"/>
  <c r="D112" i="2"/>
  <c r="E112" i="2"/>
  <c r="F112" i="2"/>
  <c r="G112" i="2"/>
  <c r="H112" i="2"/>
  <c r="I112" i="2"/>
  <c r="J112" i="2"/>
  <c r="K112" i="2"/>
  <c r="L112" i="2"/>
  <c r="M112" i="2"/>
  <c r="N112" i="2"/>
  <c r="O112" i="2"/>
  <c r="P112" i="2"/>
  <c r="Q112" i="2"/>
  <c r="R112" i="2"/>
  <c r="S112" i="2"/>
  <c r="T112" i="2"/>
  <c r="U112" i="2"/>
  <c r="V112" i="2"/>
  <c r="W112" i="2"/>
  <c r="D113" i="2"/>
  <c r="E113" i="2"/>
  <c r="F113" i="2"/>
  <c r="G113" i="2"/>
  <c r="H113" i="2"/>
  <c r="I113" i="2"/>
  <c r="J113" i="2"/>
  <c r="K113" i="2"/>
  <c r="L113" i="2"/>
  <c r="M113" i="2"/>
  <c r="N113" i="2"/>
  <c r="O113" i="2"/>
  <c r="P113" i="2"/>
  <c r="Q113" i="2"/>
  <c r="R113" i="2"/>
  <c r="S113" i="2"/>
  <c r="T113" i="2"/>
  <c r="U113" i="2"/>
  <c r="V113" i="2"/>
  <c r="W113" i="2"/>
  <c r="D114" i="2"/>
  <c r="E114" i="2"/>
  <c r="F114" i="2"/>
  <c r="G114" i="2"/>
  <c r="H114" i="2"/>
  <c r="I114" i="2"/>
  <c r="J114" i="2"/>
  <c r="K114" i="2"/>
  <c r="L114" i="2"/>
  <c r="M114" i="2"/>
  <c r="N114" i="2"/>
  <c r="O114" i="2"/>
  <c r="P114" i="2"/>
  <c r="Q114" i="2"/>
  <c r="R114" i="2"/>
  <c r="S114" i="2"/>
  <c r="T114" i="2"/>
  <c r="U114" i="2"/>
  <c r="V114" i="2"/>
  <c r="W114" i="2"/>
  <c r="D115" i="2"/>
  <c r="E115" i="2"/>
  <c r="F115" i="2"/>
  <c r="G115" i="2"/>
  <c r="H115" i="2"/>
  <c r="I115" i="2"/>
  <c r="J115" i="2"/>
  <c r="K115" i="2"/>
  <c r="L115" i="2"/>
  <c r="M115" i="2"/>
  <c r="N115" i="2"/>
  <c r="O115" i="2"/>
  <c r="P115" i="2"/>
  <c r="Q115" i="2"/>
  <c r="R115" i="2"/>
  <c r="S115" i="2"/>
  <c r="T115" i="2"/>
  <c r="U115" i="2"/>
  <c r="V115" i="2"/>
  <c r="W115" i="2"/>
  <c r="D116" i="2"/>
  <c r="E116" i="2"/>
  <c r="F116" i="2"/>
  <c r="G116" i="2"/>
  <c r="H116" i="2"/>
  <c r="I116" i="2"/>
  <c r="J116" i="2"/>
  <c r="K116" i="2"/>
  <c r="L116" i="2"/>
  <c r="M116" i="2"/>
  <c r="N116" i="2"/>
  <c r="O116" i="2"/>
  <c r="P116" i="2"/>
  <c r="Q116" i="2"/>
  <c r="R116" i="2"/>
  <c r="S116" i="2"/>
  <c r="T116" i="2"/>
  <c r="U116" i="2"/>
  <c r="V116" i="2"/>
  <c r="W116" i="2"/>
  <c r="W79" i="2"/>
  <c r="V79" i="2"/>
  <c r="U79" i="2"/>
  <c r="T79" i="2"/>
  <c r="S79" i="2"/>
  <c r="R79" i="2"/>
  <c r="Q79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N196" i="1"/>
  <c r="E196" i="1"/>
  <c r="F196" i="1"/>
  <c r="G196" i="1"/>
  <c r="H196" i="1"/>
  <c r="I196" i="1"/>
  <c r="J196" i="1"/>
  <c r="K196" i="1"/>
  <c r="L196" i="1"/>
  <c r="M196" i="1"/>
  <c r="O196" i="1"/>
  <c r="P196" i="1"/>
  <c r="Q196" i="1"/>
  <c r="R196" i="1"/>
  <c r="S196" i="1"/>
  <c r="T196" i="1"/>
  <c r="U196" i="1"/>
  <c r="V196" i="1"/>
  <c r="W196" i="1"/>
  <c r="D196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S193" i="1"/>
  <c r="T193" i="1"/>
  <c r="U193" i="1"/>
  <c r="V193" i="1"/>
  <c r="W193" i="1"/>
  <c r="D193" i="1"/>
  <c r="Y100" i="2" l="1" a="1"/>
  <c r="Y100" i="2" s="1"/>
  <c r="Z77" i="2"/>
  <c r="Y111" i="3" a="1"/>
  <c r="Y111" i="3" s="1"/>
  <c r="Y106" i="3" a="1"/>
  <c r="Y106" i="3" s="1"/>
  <c r="Y107" i="3" a="1"/>
  <c r="Y107" i="3" s="1"/>
  <c r="Y114" i="3" a="1"/>
  <c r="Y114" i="3" s="1"/>
  <c r="Y110" i="3" a="1"/>
  <c r="Y110" i="3" s="1"/>
  <c r="Y109" i="3" a="1"/>
  <c r="Y109" i="3" s="1"/>
  <c r="Y115" i="3" a="1"/>
  <c r="Y115" i="3" s="1"/>
  <c r="Y112" i="3" a="1"/>
  <c r="Y112" i="3" s="1"/>
  <c r="Y89" i="2" a="1"/>
  <c r="Y89" i="2" s="1"/>
  <c r="Y86" i="2" a="1"/>
  <c r="Y86" i="2" s="1"/>
  <c r="Y84" i="2" a="1"/>
  <c r="Y84" i="2" s="1"/>
  <c r="Y107" i="2" a="1"/>
  <c r="Y107" i="2" s="1"/>
  <c r="Y95" i="2" a="1"/>
  <c r="Y95" i="2" s="1"/>
  <c r="Y98" i="2" a="1"/>
  <c r="Y98" i="2" s="1"/>
  <c r="Y104" i="2" a="1"/>
  <c r="Y104" i="2" s="1"/>
  <c r="Y92" i="2" a="1"/>
  <c r="Y92" i="2" s="1"/>
  <c r="Y83" i="2" a="1"/>
  <c r="Y83" i="2" s="1"/>
  <c r="Y80" i="2" a="1"/>
  <c r="Y80" i="2" s="1"/>
  <c r="Y111" i="2" a="1"/>
  <c r="Y111" i="2" s="1"/>
  <c r="Y108" i="2" a="1"/>
  <c r="Y108" i="2" s="1"/>
  <c r="Y99" i="2" a="1"/>
  <c r="Y99" i="2" s="1"/>
  <c r="Y87" i="2" a="1"/>
  <c r="Y87" i="2" s="1"/>
  <c r="Y81" i="2" a="1"/>
  <c r="Y81" i="2" s="1"/>
  <c r="Y105" i="2" a="1"/>
  <c r="Y105" i="2" s="1"/>
  <c r="Y102" i="2" a="1"/>
  <c r="Y102" i="2" s="1"/>
  <c r="Y96" i="2" a="1"/>
  <c r="Y96" i="2" s="1"/>
  <c r="Y90" i="2" a="1"/>
  <c r="Y90" i="2" s="1"/>
  <c r="Y114" i="2" a="1"/>
  <c r="Y114" i="2" s="1"/>
  <c r="Y101" i="2" a="1"/>
  <c r="Y101" i="2" s="1"/>
  <c r="Y94" i="2" a="1"/>
  <c r="Y94" i="2" s="1"/>
  <c r="Y82" i="2" a="1"/>
  <c r="Y82" i="2" s="1"/>
  <c r="Y113" i="2" a="1"/>
  <c r="Y113" i="2" s="1"/>
  <c r="Y109" i="2" a="1"/>
  <c r="Y109" i="2" s="1"/>
  <c r="Y103" i="2" a="1"/>
  <c r="Y103" i="2" s="1"/>
  <c r="Y97" i="2" a="1"/>
  <c r="Y97" i="2" s="1"/>
  <c r="Y91" i="2" a="1"/>
  <c r="Y91" i="2" s="1"/>
  <c r="Y79" i="2" a="1"/>
  <c r="Y79" i="2" s="1"/>
  <c r="Y115" i="2" a="1"/>
  <c r="Y115" i="2" s="1"/>
  <c r="Y112" i="2" a="1"/>
  <c r="Y112" i="2" s="1"/>
  <c r="Y106" i="2" a="1"/>
  <c r="Y106" i="2" s="1"/>
  <c r="Y93" i="2" a="1"/>
  <c r="Y93" i="2" s="1"/>
  <c r="Y88" i="2" a="1"/>
  <c r="Y88" i="2" s="1"/>
  <c r="Y85" i="2" a="1"/>
  <c r="Y85" i="2" s="1"/>
  <c r="Z39" i="2"/>
  <c r="Y110" i="2" a="1"/>
  <c r="Y110" i="2" s="1"/>
  <c r="Y83" i="3" a="1"/>
  <c r="Y83" i="3" s="1"/>
  <c r="Y84" i="3" a="1"/>
  <c r="Y84" i="3" s="1"/>
  <c r="Y89" i="3" a="1"/>
  <c r="Y89" i="3" s="1"/>
  <c r="Y90" i="3" a="1"/>
  <c r="Y90" i="3" s="1"/>
  <c r="Y95" i="3" a="1"/>
  <c r="Y95" i="3" s="1"/>
  <c r="Y96" i="3" a="1"/>
  <c r="Y96" i="3" s="1"/>
  <c r="Y101" i="3" a="1"/>
  <c r="Y101" i="3" s="1"/>
  <c r="Y102" i="3" a="1"/>
  <c r="Y102" i="3" s="1"/>
  <c r="Y82" i="3" a="1"/>
  <c r="Y82" i="3" s="1"/>
  <c r="Y88" i="3" a="1"/>
  <c r="Y88" i="3" s="1"/>
  <c r="Y94" i="3" a="1"/>
  <c r="Y94" i="3" s="1"/>
  <c r="Y100" i="3" a="1"/>
  <c r="Y100" i="3" s="1"/>
  <c r="Y81" i="3" a="1"/>
  <c r="Y81" i="3" s="1"/>
  <c r="Y87" i="3" a="1"/>
  <c r="Y87" i="3" s="1"/>
  <c r="Y93" i="3" a="1"/>
  <c r="Y93" i="3" s="1"/>
  <c r="Y80" i="3" a="1"/>
  <c r="Y80" i="3" s="1"/>
  <c r="Y86" i="3" a="1"/>
  <c r="Y86" i="3" s="1"/>
  <c r="Y92" i="3" a="1"/>
  <c r="Y92" i="3" s="1"/>
  <c r="Y98" i="3" a="1"/>
  <c r="Y98" i="3" s="1"/>
  <c r="Y104" i="3" a="1"/>
  <c r="Y104" i="3" s="1"/>
  <c r="Y108" i="3" a="1"/>
  <c r="Y108" i="3" s="1"/>
  <c r="Y113" i="3" a="1"/>
  <c r="Y113" i="3" s="1"/>
  <c r="Y99" i="3" a="1"/>
  <c r="Y99" i="3" s="1"/>
  <c r="Y105" i="3" a="1"/>
  <c r="Y105" i="3" s="1"/>
  <c r="Y79" i="3" a="1"/>
  <c r="Y79" i="3" s="1"/>
  <c r="Y85" i="3" a="1"/>
  <c r="Y85" i="3" s="1"/>
  <c r="Y91" i="3" a="1"/>
  <c r="Y91" i="3" s="1"/>
  <c r="Y97" i="3" a="1"/>
  <c r="Y97" i="3" s="1"/>
  <c r="Y103" i="3" a="1"/>
  <c r="Y103" i="3" s="1"/>
  <c r="X196" i="1" a="1"/>
  <c r="X196" i="1" s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2" i="1"/>
  <c r="Y118" i="2" l="1"/>
  <c r="X193" i="1" a="1"/>
  <c r="X19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<sst xmlns="http://schemas.openxmlformats.org/spreadsheetml/2006/main" count="66" uniqueCount="22">
  <si>
    <t>time_period</t>
  </si>
  <si>
    <t>strategy_id</t>
  </si>
  <si>
    <t>nemomod_entc_discounted_capital_investment_fp_ammonia_production</t>
  </si>
  <si>
    <t>nemomod_entc_discounted_capital_investment_fp_hydrogen_electrolysis</t>
  </si>
  <si>
    <t>nemomod_entc_discounted_capital_investment_fp_hydrogen_gasification</t>
  </si>
  <si>
    <t>nemomod_entc_discounted_capital_investment_fp_hydrogen_reformation</t>
  </si>
  <si>
    <t>nemomod_entc_discounted_capital_investment_fp_hydrogen_reformation_ccs</t>
  </si>
  <si>
    <t>nemomod_entc_discounted_capital_investment_fp_natural_gas_liquefaction</t>
  </si>
  <si>
    <t>nemomod_entc_discounted_capital_investment_pp_biogas</t>
  </si>
  <si>
    <t>nemomod_entc_discounted_capital_investment_pp_biomass</t>
  </si>
  <si>
    <t>nemomod_entc_discounted_capital_investment_pp_coal</t>
  </si>
  <si>
    <t>nemomod_entc_discounted_capital_investment_pp_coal_ccs</t>
  </si>
  <si>
    <t>nemomod_entc_discounted_capital_investment_pp_gas</t>
  </si>
  <si>
    <t>nemomod_entc_discounted_capital_investment_pp_gas_ccs</t>
  </si>
  <si>
    <t>nemomod_entc_discounted_capital_investment_pp_geothermal</t>
  </si>
  <si>
    <t>nemomod_entc_discounted_capital_investment_pp_hydropower</t>
  </si>
  <si>
    <t>nemomod_entc_discounted_capital_investment_pp_nuclear</t>
  </si>
  <si>
    <t>nemomod_entc_discounted_capital_investment_pp_ocean</t>
  </si>
  <si>
    <t>nemomod_entc_discounted_capital_investment_pp_oil</t>
  </si>
  <si>
    <t>nemomod_entc_discounted_capital_investment_pp_solar</t>
  </si>
  <si>
    <t>nemomod_entc_discounted_capital_investment_pp_waste_incineration</t>
  </si>
  <si>
    <t>nemomod_entc_discounted_capital_investment_pp_wind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</si>
</sst>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0" borderId="0" xfId="0" applyAlignment="1">
      <alignment wrapText="1"/>
    </xf>
    <xf numFmtId="2" fontId="0" fillId="0" borderId="0" xfId="0" applyNumberFormat="1"/>
    <xf numFmtId="4" fontId="0" fillId="0" borderId="0" xfId="0" applyNumberFormat="1"/>
    <xf numFmtId="0" fontId="0" fillId="33" borderId="0" xfId="0" applyFill="1" applyAlignment="1">
      <alignment wrapText="1"/>
    </xf>
    <xf numFmtId="0" fontId="0" fillId="0" borderId="10" xfId="0" applyBorder="1"/>
    <xf numFmtId="4" fontId="0" fillId="0" borderId="10" xfId="0" applyNumberForma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X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Pathway_2!$Y$79:$Y$116</c:f>
              <c:numCache>
                <c:formatCode>0.00</c:formatCode>
                <c:ptCount val="38"/>
                <c:pt idx="0">
                  <c:v>5.6788459631752959E-4</c:v>
                </c:pt>
                <c:pt idx="1">
                  <c:v>8.9657527771413309E-2</c:v>
                </c:pt>
                <c:pt idx="2">
                  <c:v>4.3750285955832538E-2</c:v>
                </c:pt>
                <c:pt idx="3">
                  <c:v>3.4620648080068732</c:v>
                </c:pt>
                <c:pt idx="4">
                  <c:v>2.6657300820130092</c:v>
                </c:pt>
                <c:pt idx="5">
                  <c:v>3.4347880666738191</c:v>
                </c:pt>
                <c:pt idx="6">
                  <c:v>2.2050818386400919</c:v>
                </c:pt>
                <c:pt idx="7">
                  <c:v>2.7249240427640875</c:v>
                </c:pt>
                <c:pt idx="8">
                  <c:v>2.7407018904463283</c:v>
                </c:pt>
                <c:pt idx="9">
                  <c:v>2.4095940832033294</c:v>
                </c:pt>
                <c:pt idx="10">
                  <c:v>2.9632724082651785</c:v>
                </c:pt>
                <c:pt idx="11">
                  <c:v>2.7806814174190824</c:v>
                </c:pt>
                <c:pt idx="12">
                  <c:v>3.6720182633714029</c:v>
                </c:pt>
                <c:pt idx="13">
                  <c:v>2.8708373399993321</c:v>
                </c:pt>
                <c:pt idx="14">
                  <c:v>2.9066335215200607</c:v>
                </c:pt>
                <c:pt idx="15">
                  <c:v>2.9400579105154572</c:v>
                </c:pt>
                <c:pt idx="16">
                  <c:v>2.7106030961340162</c:v>
                </c:pt>
                <c:pt idx="17">
                  <c:v>-7.0139763291722259</c:v>
                </c:pt>
                <c:pt idx="18">
                  <c:v>-0.20222637043253569</c:v>
                </c:pt>
                <c:pt idx="19">
                  <c:v>1.9851479637597991</c:v>
                </c:pt>
                <c:pt idx="20">
                  <c:v>1.7290621527304395</c:v>
                </c:pt>
                <c:pt idx="21">
                  <c:v>-2.4515069209291669</c:v>
                </c:pt>
                <c:pt idx="22">
                  <c:v>1.4058859672964883</c:v>
                </c:pt>
                <c:pt idx="23">
                  <c:v>2.1725337904690138</c:v>
                </c:pt>
                <c:pt idx="24">
                  <c:v>1.7107092589844048</c:v>
                </c:pt>
                <c:pt idx="25">
                  <c:v>2.668066952690253</c:v>
                </c:pt>
                <c:pt idx="26">
                  <c:v>2.7385194857248001</c:v>
                </c:pt>
                <c:pt idx="27">
                  <c:v>4.0174882423319396</c:v>
                </c:pt>
                <c:pt idx="28">
                  <c:v>6.0253874606172966</c:v>
                </c:pt>
                <c:pt idx="29">
                  <c:v>6.3030592220299626</c:v>
                </c:pt>
                <c:pt idx="30">
                  <c:v>10.38368166402709</c:v>
                </c:pt>
                <c:pt idx="31">
                  <c:v>3.1409776152916917</c:v>
                </c:pt>
                <c:pt idx="32">
                  <c:v>4.3768516709399057</c:v>
                </c:pt>
                <c:pt idx="33">
                  <c:v>3.3114843244368681</c:v>
                </c:pt>
                <c:pt idx="34">
                  <c:v>2.7575329289011923</c:v>
                </c:pt>
                <c:pt idx="35">
                  <c:v>3.6095881075822076</c:v>
                </c:pt>
                <c:pt idx="36">
                  <c:v>4.4581288823398806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80-F04F-A44A-89512DFD96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45151872"/>
        <c:axId val="2045154112"/>
      </c:lineChart>
      <c:catAx>
        <c:axId val="20451518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X"/>
          </a:p>
        </c:txPr>
        <c:crossAx val="2045154112"/>
        <c:crosses val="autoZero"/>
        <c:auto val="1"/>
        <c:lblAlgn val="ctr"/>
        <c:lblOffset val="100"/>
        <c:noMultiLvlLbl val="0"/>
      </c:catAx>
      <c:valAx>
        <c:axId val="2045154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X"/>
          </a:p>
        </c:txPr>
        <c:crossAx val="2045151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713362</xdr:colOff>
      <xdr:row>79</xdr:row>
      <xdr:rowOff>94304</xdr:rowOff>
    </xdr:from>
    <xdr:to>
      <xdr:col>32</xdr:col>
      <xdr:colOff>340468</xdr:colOff>
      <xdr:row>93</xdr:row>
      <xdr:rowOff>270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FB9D548-FE86-4466-39A1-7E8854492F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6CBA7-FFB9-8E4A-B9D4-4910151A98E4}">
  <sheetPr filterMode="1"/>
  <dimension ref="A1:X196"/>
  <sheetViews>
    <sheetView topLeftCell="S120" workbookViewId="0">
      <selection activeCell="C116" sqref="C116:W153"/>
    </sheetView>
  </sheetViews>
  <sheetFormatPr baseColWidth="10" defaultRowHeight="16" x14ac:dyDescent="0.2"/>
  <cols>
    <col min="2" max="2" width="5.1640625" bestFit="1" customWidth="1"/>
    <col min="24" max="24" width="11.1640625" bestFit="1" customWidth="1"/>
  </cols>
  <sheetData>
    <row r="1" spans="1:23" ht="103" customHeight="1" x14ac:dyDescent="0.2">
      <c r="A1" s="1" t="s">
        <v>0</v>
      </c>
      <c r="B1" s="1"/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</row>
    <row r="2" spans="1:23" hidden="1" x14ac:dyDescent="0.2">
      <c r="A2">
        <v>8</v>
      </c>
      <c r="B2">
        <f>+A2+2015</f>
        <v>2023</v>
      </c>
      <c r="C2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5.5324457240216098E-2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v>0</v>
      </c>
      <c r="U2" s="3">
        <v>0</v>
      </c>
      <c r="V2" s="3">
        <v>51.370288694422797</v>
      </c>
      <c r="W2" s="3">
        <v>0</v>
      </c>
    </row>
    <row r="3" spans="1:23" hidden="1" x14ac:dyDescent="0.2">
      <c r="A3">
        <v>9</v>
      </c>
      <c r="B3">
        <f t="shared" ref="B3:B66" si="0">+A3+2015</f>
        <v>2024</v>
      </c>
      <c r="C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4.8126612443268303E-2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0</v>
      </c>
      <c r="R3" s="3">
        <v>0</v>
      </c>
      <c r="S3" s="3">
        <v>0</v>
      </c>
      <c r="T3" s="3">
        <v>0</v>
      </c>
      <c r="U3" s="3">
        <v>800.34301897329101</v>
      </c>
      <c r="V3" s="3">
        <v>40.454679441768299</v>
      </c>
      <c r="W3" s="3">
        <v>0</v>
      </c>
    </row>
    <row r="4" spans="1:23" hidden="1" x14ac:dyDescent="0.2">
      <c r="A4">
        <v>10</v>
      </c>
      <c r="B4">
        <f t="shared" si="0"/>
        <v>2025</v>
      </c>
      <c r="C4">
        <v>0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4.0714583751857103E-2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62.972679923565103</v>
      </c>
      <c r="V4" s="3">
        <v>27.924217937725398</v>
      </c>
      <c r="W4" s="3">
        <v>0</v>
      </c>
    </row>
    <row r="5" spans="1:23" hidden="1" x14ac:dyDescent="0.2">
      <c r="A5">
        <v>11</v>
      </c>
      <c r="B5">
        <f t="shared" si="0"/>
        <v>2026</v>
      </c>
      <c r="C5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4.1420887930945803E-2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296.00580453028999</v>
      </c>
      <c r="Q5" s="3">
        <v>0</v>
      </c>
      <c r="R5" s="3">
        <v>0</v>
      </c>
      <c r="S5" s="3">
        <v>0</v>
      </c>
      <c r="T5" s="3">
        <v>0</v>
      </c>
      <c r="U5" s="3">
        <v>178.63839788459899</v>
      </c>
      <c r="V5" s="3">
        <v>34.605052980499998</v>
      </c>
      <c r="W5" s="3">
        <v>457.25055065271499</v>
      </c>
    </row>
    <row r="6" spans="1:23" hidden="1" x14ac:dyDescent="0.2">
      <c r="A6">
        <v>12</v>
      </c>
      <c r="B6">
        <f t="shared" si="0"/>
        <v>2027</v>
      </c>
      <c r="C6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4.26850309583005E-2</v>
      </c>
      <c r="K6" s="3">
        <v>0</v>
      </c>
      <c r="L6" s="3">
        <v>0</v>
      </c>
      <c r="M6" s="3">
        <v>0</v>
      </c>
      <c r="N6" s="3">
        <v>155.57514015716399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36.944972628455801</v>
      </c>
      <c r="W6" s="3">
        <v>0</v>
      </c>
    </row>
    <row r="7" spans="1:23" hidden="1" x14ac:dyDescent="0.2">
      <c r="A7">
        <v>13</v>
      </c>
      <c r="B7">
        <f t="shared" si="0"/>
        <v>2028</v>
      </c>
      <c r="C7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4.2959241803380802E-2</v>
      </c>
      <c r="K7" s="3">
        <v>0</v>
      </c>
      <c r="L7" s="3">
        <v>0</v>
      </c>
      <c r="M7" s="3">
        <v>0</v>
      </c>
      <c r="N7" s="3">
        <v>2162.6865434484598</v>
      </c>
      <c r="O7" s="3">
        <v>0</v>
      </c>
      <c r="P7" s="3">
        <v>1492.99947549988</v>
      </c>
      <c r="Q7" s="3">
        <v>0</v>
      </c>
      <c r="R7" s="3">
        <v>0</v>
      </c>
      <c r="S7" s="3">
        <v>0</v>
      </c>
      <c r="T7" s="3">
        <v>0</v>
      </c>
      <c r="U7" s="3">
        <v>676.96273421008004</v>
      </c>
      <c r="V7" s="3">
        <v>37.636883595593297</v>
      </c>
      <c r="W7" s="3">
        <v>385.03854239920003</v>
      </c>
    </row>
    <row r="8" spans="1:23" hidden="1" x14ac:dyDescent="0.2">
      <c r="A8">
        <v>14</v>
      </c>
      <c r="B8">
        <f t="shared" si="0"/>
        <v>2029</v>
      </c>
      <c r="C8"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4.3191439693580198E-2</v>
      </c>
      <c r="K8" s="3">
        <v>0</v>
      </c>
      <c r="L8" s="3">
        <v>0</v>
      </c>
      <c r="M8" s="3">
        <v>0</v>
      </c>
      <c r="N8" s="3">
        <v>1357.8464847473399</v>
      </c>
      <c r="O8" s="3">
        <v>0</v>
      </c>
      <c r="P8" s="3">
        <v>21.6465459789768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38.268062919813303</v>
      </c>
      <c r="W8" s="3">
        <v>104.17779931577699</v>
      </c>
    </row>
    <row r="9" spans="1:23" hidden="1" x14ac:dyDescent="0.2">
      <c r="A9">
        <v>15</v>
      </c>
      <c r="B9">
        <f t="shared" si="0"/>
        <v>2030</v>
      </c>
      <c r="C9">
        <v>0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4.4359459510212799E-2</v>
      </c>
      <c r="K9" s="3">
        <v>0</v>
      </c>
      <c r="L9" s="3">
        <v>0</v>
      </c>
      <c r="M9" s="3">
        <v>0</v>
      </c>
      <c r="N9" s="3">
        <v>382.28543355901797</v>
      </c>
      <c r="O9" s="3">
        <v>0</v>
      </c>
      <c r="P9" s="3">
        <v>23.072148090838098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40.557519523944201</v>
      </c>
      <c r="W9" s="3">
        <v>184.293111053746</v>
      </c>
    </row>
    <row r="10" spans="1:23" hidden="1" x14ac:dyDescent="0.2">
      <c r="A10">
        <v>16</v>
      </c>
      <c r="B10">
        <f t="shared" si="0"/>
        <v>2031</v>
      </c>
      <c r="C10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4.1159589953183098E-2</v>
      </c>
      <c r="K10" s="3">
        <v>0</v>
      </c>
      <c r="L10" s="3">
        <v>0</v>
      </c>
      <c r="M10" s="3">
        <v>0</v>
      </c>
      <c r="N10" s="3">
        <v>402.88914504315102</v>
      </c>
      <c r="O10" s="3">
        <v>0</v>
      </c>
      <c r="P10" s="3">
        <v>77.646523291456802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41.632012256331102</v>
      </c>
      <c r="W10" s="3">
        <v>190.73465928236001</v>
      </c>
    </row>
    <row r="11" spans="1:23" hidden="1" x14ac:dyDescent="0.2">
      <c r="A11">
        <v>17</v>
      </c>
      <c r="B11">
        <f t="shared" si="0"/>
        <v>2032</v>
      </c>
      <c r="C11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4.2176118641440302E-2</v>
      </c>
      <c r="K11" s="3">
        <v>0</v>
      </c>
      <c r="L11" s="3">
        <v>0</v>
      </c>
      <c r="M11" s="3">
        <v>0</v>
      </c>
      <c r="N11" s="3">
        <v>1138.3878462171299</v>
      </c>
      <c r="O11" s="3">
        <v>0</v>
      </c>
      <c r="P11" s="3">
        <v>25.044071239981299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43.802207293432801</v>
      </c>
      <c r="W11" s="3">
        <v>138.711676476696</v>
      </c>
    </row>
    <row r="12" spans="1:23" hidden="1" x14ac:dyDescent="0.2">
      <c r="A12">
        <v>18</v>
      </c>
      <c r="B12">
        <f t="shared" si="0"/>
        <v>2033</v>
      </c>
      <c r="C12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4.3219814729146301E-2</v>
      </c>
      <c r="K12" s="3">
        <v>0</v>
      </c>
      <c r="L12" s="3">
        <v>0</v>
      </c>
      <c r="M12" s="3">
        <v>0</v>
      </c>
      <c r="N12" s="3">
        <v>2069.1580777967101</v>
      </c>
      <c r="O12" s="3">
        <v>0</v>
      </c>
      <c r="P12" s="3">
        <v>26.3499492005216</v>
      </c>
      <c r="Q12" s="3">
        <v>0</v>
      </c>
      <c r="R12" s="3">
        <v>0</v>
      </c>
      <c r="S12" s="3">
        <v>0</v>
      </c>
      <c r="T12" s="3">
        <v>0</v>
      </c>
      <c r="U12" s="3">
        <v>0</v>
      </c>
      <c r="V12" s="3">
        <v>46.081308763124198</v>
      </c>
      <c r="W12" s="3">
        <v>242.10201860418599</v>
      </c>
    </row>
    <row r="13" spans="1:23" hidden="1" x14ac:dyDescent="0.2">
      <c r="A13">
        <v>19</v>
      </c>
      <c r="B13">
        <f t="shared" si="0"/>
        <v>2034</v>
      </c>
      <c r="C1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4.42923355988376E-2</v>
      </c>
      <c r="K13" s="3">
        <v>0</v>
      </c>
      <c r="L13" s="3">
        <v>0</v>
      </c>
      <c r="M13" s="3">
        <v>0</v>
      </c>
      <c r="N13" s="3">
        <v>500.88314024995998</v>
      </c>
      <c r="O13" s="3">
        <v>0</v>
      </c>
      <c r="P13" s="3">
        <v>27.4399787804184</v>
      </c>
      <c r="Q13" s="3">
        <v>0</v>
      </c>
      <c r="R13" s="3">
        <v>0</v>
      </c>
      <c r="S13" s="3">
        <v>0</v>
      </c>
      <c r="T13" s="3">
        <v>0</v>
      </c>
      <c r="U13" s="3">
        <v>124.582970701699</v>
      </c>
      <c r="V13" s="3">
        <v>48.477190341811401</v>
      </c>
      <c r="W13" s="3">
        <v>139.16172805776699</v>
      </c>
    </row>
    <row r="14" spans="1:23" hidden="1" x14ac:dyDescent="0.2">
      <c r="A14">
        <v>20</v>
      </c>
      <c r="B14">
        <f t="shared" si="0"/>
        <v>2035</v>
      </c>
      <c r="C14">
        <v>0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4.5395293716460602E-2</v>
      </c>
      <c r="K14" s="3">
        <v>0</v>
      </c>
      <c r="L14" s="3">
        <v>0</v>
      </c>
      <c r="M14" s="3">
        <v>0</v>
      </c>
      <c r="N14" s="3">
        <v>1410.59678851187</v>
      </c>
      <c r="O14" s="3">
        <v>0</v>
      </c>
      <c r="P14" s="3">
        <v>28.731388493937398</v>
      </c>
      <c r="Q14" s="3">
        <v>0</v>
      </c>
      <c r="R14" s="3">
        <v>0</v>
      </c>
      <c r="S14" s="3">
        <v>0</v>
      </c>
      <c r="T14" s="3">
        <v>0</v>
      </c>
      <c r="U14" s="3">
        <v>625.58659445623596</v>
      </c>
      <c r="V14" s="3">
        <v>50.998292452285099</v>
      </c>
      <c r="W14" s="3">
        <v>3444.14721408579</v>
      </c>
    </row>
    <row r="15" spans="1:23" hidden="1" x14ac:dyDescent="0.2">
      <c r="A15">
        <v>21</v>
      </c>
      <c r="B15">
        <f t="shared" si="0"/>
        <v>2036</v>
      </c>
      <c r="C15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4.2285230382966797E-2</v>
      </c>
      <c r="K15" s="3">
        <v>0</v>
      </c>
      <c r="L15" s="3">
        <v>0</v>
      </c>
      <c r="M15" s="3">
        <v>0</v>
      </c>
      <c r="N15" s="3">
        <v>539.31503291573097</v>
      </c>
      <c r="O15" s="3">
        <v>0</v>
      </c>
      <c r="P15" s="3">
        <v>29.801743101846899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52.653016557757603</v>
      </c>
      <c r="W15" s="3">
        <v>187.19888091238701</v>
      </c>
    </row>
    <row r="16" spans="1:23" hidden="1" x14ac:dyDescent="0.2">
      <c r="A16">
        <v>22</v>
      </c>
      <c r="B16">
        <f t="shared" si="0"/>
        <v>2037</v>
      </c>
      <c r="C16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0.85908139627873403</v>
      </c>
      <c r="K16" s="3">
        <v>0</v>
      </c>
      <c r="L16" s="3">
        <v>0</v>
      </c>
      <c r="M16" s="3">
        <v>0</v>
      </c>
      <c r="N16" s="3">
        <v>651.47733013564198</v>
      </c>
      <c r="O16" s="3">
        <v>0</v>
      </c>
      <c r="P16" s="3">
        <v>31.300254963320199</v>
      </c>
      <c r="Q16" s="3">
        <v>0</v>
      </c>
      <c r="R16" s="3">
        <v>0</v>
      </c>
      <c r="S16" s="3">
        <v>0</v>
      </c>
      <c r="T16" s="3">
        <v>0</v>
      </c>
      <c r="U16" s="3">
        <v>264.68289072142102</v>
      </c>
      <c r="V16" s="3">
        <v>55.448161499848197</v>
      </c>
      <c r="W16" s="3">
        <v>25.5819302633295</v>
      </c>
    </row>
    <row r="17" spans="1:23" hidden="1" x14ac:dyDescent="0.2">
      <c r="A17">
        <v>23</v>
      </c>
      <c r="B17">
        <f t="shared" si="0"/>
        <v>2038</v>
      </c>
      <c r="C17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0.88121162288598398</v>
      </c>
      <c r="K17" s="3">
        <v>0</v>
      </c>
      <c r="L17" s="3">
        <v>0</v>
      </c>
      <c r="M17" s="3">
        <v>0</v>
      </c>
      <c r="N17" s="3">
        <v>761.45198458420202</v>
      </c>
      <c r="O17" s="3">
        <v>0</v>
      </c>
      <c r="P17" s="3">
        <v>32.837285658300097</v>
      </c>
      <c r="Q17" s="3">
        <v>0</v>
      </c>
      <c r="R17" s="3">
        <v>0</v>
      </c>
      <c r="S17" s="3">
        <v>0</v>
      </c>
      <c r="T17" s="3">
        <v>2.0105144541140798</v>
      </c>
      <c r="U17" s="3">
        <v>24.810316039289098</v>
      </c>
      <c r="V17" s="3">
        <v>58.397421352880698</v>
      </c>
      <c r="W17" s="3">
        <v>197.818965813733</v>
      </c>
    </row>
    <row r="18" spans="1:23" hidden="1" x14ac:dyDescent="0.2">
      <c r="A18">
        <v>24</v>
      </c>
      <c r="B18">
        <f t="shared" si="0"/>
        <v>2039</v>
      </c>
      <c r="C18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0.89117455252700495</v>
      </c>
      <c r="K18" s="3">
        <v>0</v>
      </c>
      <c r="L18" s="3">
        <v>0</v>
      </c>
      <c r="M18" s="3">
        <v>0</v>
      </c>
      <c r="N18" s="3">
        <v>1245.03673170201</v>
      </c>
      <c r="O18" s="3">
        <v>0</v>
      </c>
      <c r="P18" s="3">
        <v>34.289547952156703</v>
      </c>
      <c r="Q18" s="3">
        <v>0</v>
      </c>
      <c r="R18" s="3">
        <v>0</v>
      </c>
      <c r="S18" s="3">
        <v>0</v>
      </c>
      <c r="T18" s="3">
        <v>229.23618255638399</v>
      </c>
      <c r="U18" s="3">
        <v>0</v>
      </c>
      <c r="V18" s="3">
        <v>61.326546698479298</v>
      </c>
      <c r="W18" s="3">
        <v>177.01320621103801</v>
      </c>
    </row>
    <row r="19" spans="1:23" hidden="1" x14ac:dyDescent="0.2">
      <c r="A19">
        <v>25</v>
      </c>
      <c r="B19">
        <f t="shared" si="0"/>
        <v>2040</v>
      </c>
      <c r="C19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0.84707020829002999</v>
      </c>
      <c r="K19" s="3">
        <v>0</v>
      </c>
      <c r="L19" s="3">
        <v>3230.58385957874</v>
      </c>
      <c r="M19" s="3">
        <v>0</v>
      </c>
      <c r="N19" s="3">
        <v>19438.319388237898</v>
      </c>
      <c r="O19" s="3">
        <v>0</v>
      </c>
      <c r="P19" s="3">
        <v>35.534278587327996</v>
      </c>
      <c r="Q19" s="3">
        <v>0</v>
      </c>
      <c r="R19" s="3">
        <v>0</v>
      </c>
      <c r="S19" s="3">
        <v>0</v>
      </c>
      <c r="T19" s="3">
        <v>780.70682151228505</v>
      </c>
      <c r="U19" s="3">
        <v>0</v>
      </c>
      <c r="V19" s="3">
        <v>64.050073799800202</v>
      </c>
      <c r="W19" s="3">
        <v>1488.0547307208201</v>
      </c>
    </row>
    <row r="20" spans="1:23" hidden="1" x14ac:dyDescent="0.2">
      <c r="A20">
        <v>26</v>
      </c>
      <c r="B20">
        <f t="shared" si="0"/>
        <v>2041</v>
      </c>
      <c r="C20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0.87116488456608798</v>
      </c>
      <c r="K20" s="3">
        <v>0</v>
      </c>
      <c r="L20" s="3">
        <v>247.819285615773</v>
      </c>
      <c r="M20" s="3">
        <v>0</v>
      </c>
      <c r="N20" s="3">
        <v>954.16077047275496</v>
      </c>
      <c r="O20" s="3">
        <v>0</v>
      </c>
      <c r="P20" s="3">
        <v>35.6461475895345</v>
      </c>
      <c r="Q20" s="3">
        <v>0</v>
      </c>
      <c r="R20" s="3">
        <v>0</v>
      </c>
      <c r="S20" s="3">
        <v>0</v>
      </c>
      <c r="T20" s="3">
        <v>2983.0680298028601</v>
      </c>
      <c r="U20" s="3">
        <v>161.84061206260901</v>
      </c>
      <c r="V20" s="3">
        <v>64.502544214359602</v>
      </c>
      <c r="W20" s="3">
        <v>366.76544112958999</v>
      </c>
    </row>
    <row r="21" spans="1:23" hidden="1" x14ac:dyDescent="0.2">
      <c r="A21">
        <v>27</v>
      </c>
      <c r="B21">
        <f t="shared" si="0"/>
        <v>2042</v>
      </c>
      <c r="C21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0.102420482384551</v>
      </c>
      <c r="K21" s="3">
        <v>0</v>
      </c>
      <c r="L21" s="3">
        <v>255.19508708643599</v>
      </c>
      <c r="M21" s="3">
        <v>0</v>
      </c>
      <c r="N21" s="3">
        <v>1325.4296750604501</v>
      </c>
      <c r="O21" s="3">
        <v>0</v>
      </c>
      <c r="P21" s="3">
        <v>35.868686747383599</v>
      </c>
      <c r="Q21" s="3">
        <v>0</v>
      </c>
      <c r="R21" s="3">
        <v>0</v>
      </c>
      <c r="S21" s="3">
        <v>0</v>
      </c>
      <c r="T21" s="3">
        <v>0</v>
      </c>
      <c r="U21" s="3">
        <v>248.466249156918</v>
      </c>
      <c r="V21" s="3">
        <v>492.44719710951</v>
      </c>
      <c r="W21" s="3">
        <v>263.95367841354499</v>
      </c>
    </row>
    <row r="22" spans="1:23" hidden="1" x14ac:dyDescent="0.2">
      <c r="A22">
        <v>28</v>
      </c>
      <c r="B22">
        <f t="shared" si="0"/>
        <v>2043</v>
      </c>
      <c r="C22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9.8135894753925298E-2</v>
      </c>
      <c r="K22" s="3">
        <v>0</v>
      </c>
      <c r="L22" s="3">
        <v>260.682037105718</v>
      </c>
      <c r="M22" s="3">
        <v>0</v>
      </c>
      <c r="N22" s="3">
        <v>808.63744473146096</v>
      </c>
      <c r="O22" s="3">
        <v>0</v>
      </c>
      <c r="P22" s="3">
        <v>35.803042989334998</v>
      </c>
      <c r="Q22" s="3">
        <v>0</v>
      </c>
      <c r="R22" s="3">
        <v>0</v>
      </c>
      <c r="S22" s="3">
        <v>0</v>
      </c>
      <c r="T22" s="3">
        <v>0</v>
      </c>
      <c r="U22" s="3">
        <v>207.00816148364899</v>
      </c>
      <c r="V22" s="3">
        <v>507.51514777255301</v>
      </c>
      <c r="W22" s="3">
        <v>307.21630098175001</v>
      </c>
    </row>
    <row r="23" spans="1:23" hidden="1" x14ac:dyDescent="0.2">
      <c r="A23">
        <v>29</v>
      </c>
      <c r="B23">
        <f t="shared" si="0"/>
        <v>2044</v>
      </c>
      <c r="C2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0.43464747175642399</v>
      </c>
      <c r="K23" s="3">
        <v>0</v>
      </c>
      <c r="L23" s="3">
        <v>9375.1366975556994</v>
      </c>
      <c r="M23" s="3">
        <v>0</v>
      </c>
      <c r="N23" s="3">
        <v>791.33876321504499</v>
      </c>
      <c r="O23" s="3">
        <v>0</v>
      </c>
      <c r="P23" s="3">
        <v>72.302292186030598</v>
      </c>
      <c r="Q23" s="3">
        <v>0</v>
      </c>
      <c r="R23" s="3">
        <v>0</v>
      </c>
      <c r="S23" s="3">
        <v>0</v>
      </c>
      <c r="T23" s="3">
        <v>46.795343996640703</v>
      </c>
      <c r="U23" s="3">
        <v>602.17562941440701</v>
      </c>
      <c r="V23" s="3">
        <v>504.34906667595698</v>
      </c>
      <c r="W23" s="3">
        <v>177.95767859894599</v>
      </c>
    </row>
    <row r="24" spans="1:23" hidden="1" x14ac:dyDescent="0.2">
      <c r="A24">
        <v>30</v>
      </c>
      <c r="B24">
        <f t="shared" si="0"/>
        <v>2045</v>
      </c>
      <c r="C24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8.6500141407207298E-2</v>
      </c>
      <c r="K24" s="3">
        <v>0</v>
      </c>
      <c r="L24" s="3">
        <v>291.11707159338903</v>
      </c>
      <c r="M24" s="3">
        <v>0</v>
      </c>
      <c r="N24" s="3">
        <v>3686.09866966445</v>
      </c>
      <c r="O24" s="3">
        <v>0</v>
      </c>
      <c r="P24" s="3">
        <v>112.066357239719</v>
      </c>
      <c r="Q24" s="3">
        <v>0</v>
      </c>
      <c r="R24" s="3">
        <v>6778.7184598436397</v>
      </c>
      <c r="S24" s="3">
        <v>0</v>
      </c>
      <c r="T24" s="3">
        <v>1026.4995585668901</v>
      </c>
      <c r="U24" s="3">
        <v>2049.7962417205499</v>
      </c>
      <c r="V24" s="3">
        <v>416.01157446532801</v>
      </c>
      <c r="W24" s="3">
        <v>392.34534313864702</v>
      </c>
    </row>
    <row r="25" spans="1:23" hidden="1" x14ac:dyDescent="0.2">
      <c r="A25">
        <v>31</v>
      </c>
      <c r="B25">
        <f t="shared" si="0"/>
        <v>2046</v>
      </c>
      <c r="C25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6.1061583054861097E-2</v>
      </c>
      <c r="K25" s="3">
        <v>0</v>
      </c>
      <c r="L25" s="3">
        <v>295.70893497906599</v>
      </c>
      <c r="M25" s="3">
        <v>0</v>
      </c>
      <c r="N25" s="3">
        <v>848.59612318534005</v>
      </c>
      <c r="O25" s="3">
        <v>0</v>
      </c>
      <c r="P25" s="3">
        <v>37.893985220763497</v>
      </c>
      <c r="Q25" s="3">
        <v>0</v>
      </c>
      <c r="R25" s="3">
        <v>1.14432537512421E-12</v>
      </c>
      <c r="S25" s="3">
        <v>0</v>
      </c>
      <c r="T25" s="3">
        <v>959.84901696025202</v>
      </c>
      <c r="U25" s="3">
        <v>275.971055106373</v>
      </c>
      <c r="V25" s="3">
        <v>544.15867403387995</v>
      </c>
      <c r="W25" s="3">
        <v>474.68888858215399</v>
      </c>
    </row>
    <row r="26" spans="1:23" hidden="1" x14ac:dyDescent="0.2">
      <c r="A26">
        <v>32</v>
      </c>
      <c r="B26">
        <f t="shared" si="0"/>
        <v>2047</v>
      </c>
      <c r="C26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305.466736303689</v>
      </c>
      <c r="M26" s="3">
        <v>0</v>
      </c>
      <c r="N26" s="3">
        <v>864.83154181009002</v>
      </c>
      <c r="O26" s="3">
        <v>0</v>
      </c>
      <c r="P26" s="3">
        <v>37.742326065090403</v>
      </c>
      <c r="Q26" s="3">
        <v>0</v>
      </c>
      <c r="R26" s="3">
        <v>0</v>
      </c>
      <c r="S26" s="3">
        <v>0</v>
      </c>
      <c r="T26" s="3">
        <v>1601.0767766674601</v>
      </c>
      <c r="U26" s="3">
        <v>1037.9779785099199</v>
      </c>
      <c r="V26" s="3">
        <v>127.700095158644</v>
      </c>
      <c r="W26" s="3">
        <v>137.35011425612799</v>
      </c>
    </row>
    <row r="27" spans="1:23" hidden="1" x14ac:dyDescent="0.2">
      <c r="A27">
        <v>33</v>
      </c>
      <c r="B27">
        <f t="shared" si="0"/>
        <v>2048</v>
      </c>
      <c r="C27">
        <v>0</v>
      </c>
      <c r="D27" s="3">
        <v>0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3">
        <v>0</v>
      </c>
      <c r="K27" s="3">
        <v>0</v>
      </c>
      <c r="L27" s="3">
        <v>315.77667810974702</v>
      </c>
      <c r="M27" s="3">
        <v>0</v>
      </c>
      <c r="N27" s="3">
        <v>885.29337983410505</v>
      </c>
      <c r="O27" s="3">
        <v>0</v>
      </c>
      <c r="P27" s="3">
        <v>37.756804330635802</v>
      </c>
      <c r="Q27" s="3">
        <v>0</v>
      </c>
      <c r="R27" s="3">
        <v>0</v>
      </c>
      <c r="S27" s="3">
        <v>0</v>
      </c>
      <c r="T27" s="3">
        <v>260.88537510812603</v>
      </c>
      <c r="U27" s="3">
        <v>215.99888299839299</v>
      </c>
      <c r="V27" s="3">
        <v>121.755529162019</v>
      </c>
      <c r="W27" s="3">
        <v>438.45898096119498</v>
      </c>
    </row>
    <row r="28" spans="1:23" hidden="1" x14ac:dyDescent="0.2">
      <c r="A28">
        <v>34</v>
      </c>
      <c r="B28">
        <f t="shared" si="0"/>
        <v>2049</v>
      </c>
      <c r="C28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50.442617794466202</v>
      </c>
      <c r="M28" s="3">
        <v>0</v>
      </c>
      <c r="N28" s="3">
        <v>920.92471648977903</v>
      </c>
      <c r="O28" s="3">
        <v>0</v>
      </c>
      <c r="P28" s="3">
        <v>44.194985247375101</v>
      </c>
      <c r="Q28" s="3">
        <v>0</v>
      </c>
      <c r="R28" s="3">
        <v>0</v>
      </c>
      <c r="S28" s="3">
        <v>0</v>
      </c>
      <c r="T28" s="3">
        <v>1463.0949681595901</v>
      </c>
      <c r="U28" s="3">
        <v>602.80748135675799</v>
      </c>
      <c r="V28" s="3">
        <v>112.26730705993999</v>
      </c>
      <c r="W28" s="3">
        <v>259.316751328164</v>
      </c>
    </row>
    <row r="29" spans="1:23" hidden="1" x14ac:dyDescent="0.2">
      <c r="A29">
        <v>35</v>
      </c>
      <c r="B29">
        <f t="shared" si="0"/>
        <v>2050</v>
      </c>
      <c r="C29">
        <v>0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0</v>
      </c>
      <c r="L29" s="3">
        <v>0</v>
      </c>
      <c r="M29" s="3">
        <v>0</v>
      </c>
      <c r="N29" s="3">
        <v>952.71022155261596</v>
      </c>
      <c r="O29" s="3">
        <v>0</v>
      </c>
      <c r="P29" s="3">
        <v>40.079192297507703</v>
      </c>
      <c r="Q29" s="3">
        <v>0</v>
      </c>
      <c r="R29" s="3">
        <v>0</v>
      </c>
      <c r="S29" s="3">
        <v>0</v>
      </c>
      <c r="T29" s="3">
        <v>277.35353852865001</v>
      </c>
      <c r="U29" s="3">
        <v>296.77281292267799</v>
      </c>
      <c r="V29" s="3">
        <v>101.368801915676</v>
      </c>
      <c r="W29" s="3">
        <v>339.913218364871</v>
      </c>
    </row>
    <row r="30" spans="1:23" hidden="1" x14ac:dyDescent="0.2">
      <c r="A30">
        <v>36</v>
      </c>
      <c r="B30">
        <f t="shared" si="0"/>
        <v>2051</v>
      </c>
      <c r="C30">
        <v>0</v>
      </c>
      <c r="D30" s="3">
        <v>0</v>
      </c>
      <c r="E30" s="3">
        <v>0</v>
      </c>
      <c r="F30" s="3">
        <v>0</v>
      </c>
      <c r="G30" s="3">
        <v>0</v>
      </c>
      <c r="H30" s="3">
        <v>0</v>
      </c>
      <c r="I30" s="3">
        <v>0</v>
      </c>
      <c r="J30" s="3">
        <v>7.1527543898933496E-2</v>
      </c>
      <c r="K30" s="3">
        <v>0</v>
      </c>
      <c r="L30" s="3">
        <v>0</v>
      </c>
      <c r="M30" s="3">
        <v>0</v>
      </c>
      <c r="N30" s="3">
        <v>1135.28838536849</v>
      </c>
      <c r="O30" s="3">
        <v>0</v>
      </c>
      <c r="P30" s="3">
        <v>47.715341371471702</v>
      </c>
      <c r="Q30" s="3">
        <v>0</v>
      </c>
      <c r="R30" s="3">
        <v>0</v>
      </c>
      <c r="S30" s="3">
        <v>0</v>
      </c>
      <c r="T30" s="3">
        <v>330.69387045104003</v>
      </c>
      <c r="U30" s="3">
        <v>329.14999761139802</v>
      </c>
      <c r="V30" s="3">
        <v>107.015248040052</v>
      </c>
      <c r="W30" s="3">
        <v>416.19833039807401</v>
      </c>
    </row>
    <row r="31" spans="1:23" hidden="1" x14ac:dyDescent="0.2">
      <c r="A31">
        <v>37</v>
      </c>
      <c r="B31">
        <f t="shared" si="0"/>
        <v>2052</v>
      </c>
      <c r="C31">
        <v>0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3">
        <v>7.2710872990940895E-2</v>
      </c>
      <c r="K31" s="3">
        <v>0</v>
      </c>
      <c r="L31" s="3">
        <v>371.47702107579897</v>
      </c>
      <c r="M31" s="3">
        <v>0</v>
      </c>
      <c r="N31" s="3">
        <v>1292.92683906812</v>
      </c>
      <c r="O31" s="3">
        <v>0</v>
      </c>
      <c r="P31" s="3">
        <v>49.558936101505203</v>
      </c>
      <c r="Q31" s="3">
        <v>0</v>
      </c>
      <c r="R31" s="3">
        <v>0</v>
      </c>
      <c r="S31" s="3">
        <v>0</v>
      </c>
      <c r="T31" s="3">
        <v>1118.2772578439001</v>
      </c>
      <c r="U31" s="3">
        <v>1306.9602163869599</v>
      </c>
      <c r="V31" s="3">
        <v>110.50558932867401</v>
      </c>
      <c r="W31" s="3">
        <v>328.90921775050401</v>
      </c>
    </row>
    <row r="32" spans="1:23" hidden="1" x14ac:dyDescent="0.2">
      <c r="A32">
        <v>38</v>
      </c>
      <c r="B32">
        <f t="shared" si="0"/>
        <v>2053</v>
      </c>
      <c r="C32">
        <v>0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7.3705186050920399E-2</v>
      </c>
      <c r="K32" s="3">
        <v>0</v>
      </c>
      <c r="L32" s="3">
        <v>373.58740622973698</v>
      </c>
      <c r="M32" s="3">
        <v>0</v>
      </c>
      <c r="N32" s="3">
        <v>3306.5030627443698</v>
      </c>
      <c r="O32" s="3">
        <v>0</v>
      </c>
      <c r="P32" s="3">
        <v>49.840612696594199</v>
      </c>
      <c r="Q32" s="3">
        <v>0</v>
      </c>
      <c r="R32" s="3">
        <v>0</v>
      </c>
      <c r="S32" s="3">
        <v>0</v>
      </c>
      <c r="T32" s="3">
        <v>336.90900850831298</v>
      </c>
      <c r="U32" s="3">
        <v>222.23931915932701</v>
      </c>
      <c r="V32" s="3">
        <v>111.82299559642399</v>
      </c>
      <c r="W32" s="3">
        <v>431.35633585990303</v>
      </c>
    </row>
    <row r="33" spans="1:23" hidden="1" x14ac:dyDescent="0.2">
      <c r="A33">
        <v>39</v>
      </c>
      <c r="B33">
        <f t="shared" si="0"/>
        <v>2054</v>
      </c>
      <c r="C33">
        <v>0</v>
      </c>
      <c r="D33" s="3">
        <v>0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  <c r="J33" s="3">
        <v>7.47376786074746E-2</v>
      </c>
      <c r="K33" s="3">
        <v>0</v>
      </c>
      <c r="L33" s="3">
        <v>375.71666754082798</v>
      </c>
      <c r="M33" s="3">
        <v>0</v>
      </c>
      <c r="N33" s="3">
        <v>2508.1854058036602</v>
      </c>
      <c r="O33" s="3">
        <v>0</v>
      </c>
      <c r="P33" s="3">
        <v>50.124819478256597</v>
      </c>
      <c r="Q33" s="3">
        <v>0</v>
      </c>
      <c r="R33" s="3">
        <v>0</v>
      </c>
      <c r="S33" s="3">
        <v>0</v>
      </c>
      <c r="T33" s="3">
        <v>338.82922130239302</v>
      </c>
      <c r="U33" s="3">
        <v>662.42378682598405</v>
      </c>
      <c r="V33" s="3">
        <v>113.089583860527</v>
      </c>
      <c r="W33" s="3">
        <v>340.82438324803798</v>
      </c>
    </row>
    <row r="34" spans="1:23" hidden="1" x14ac:dyDescent="0.2">
      <c r="A34">
        <v>40</v>
      </c>
      <c r="B34">
        <f t="shared" si="0"/>
        <v>2055</v>
      </c>
      <c r="C34">
        <v>0</v>
      </c>
      <c r="D34" s="3">
        <v>0</v>
      </c>
      <c r="E34" s="3">
        <v>0</v>
      </c>
      <c r="F34" s="3">
        <v>0</v>
      </c>
      <c r="G34" s="3">
        <v>0</v>
      </c>
      <c r="H34" s="3">
        <v>0</v>
      </c>
      <c r="I34" s="3">
        <v>0</v>
      </c>
      <c r="J34" s="3">
        <v>7.56063454276652E-2</v>
      </c>
      <c r="K34" s="3">
        <v>0</v>
      </c>
      <c r="L34" s="3">
        <v>375.35183528448698</v>
      </c>
      <c r="M34" s="3">
        <v>0</v>
      </c>
      <c r="N34" s="3">
        <v>1531.5103763437601</v>
      </c>
      <c r="O34" s="3">
        <v>0</v>
      </c>
      <c r="P34" s="3">
        <v>50.0762956229254</v>
      </c>
      <c r="Q34" s="3">
        <v>0</v>
      </c>
      <c r="R34" s="3">
        <v>0</v>
      </c>
      <c r="S34" s="3">
        <v>0</v>
      </c>
      <c r="T34" s="3">
        <v>1072.8171823024099</v>
      </c>
      <c r="U34" s="3">
        <v>258.63060996689501</v>
      </c>
      <c r="V34" s="3">
        <v>115.518921871948</v>
      </c>
      <c r="W34" s="3">
        <v>3725.2860110373799</v>
      </c>
    </row>
    <row r="35" spans="1:23" hidden="1" x14ac:dyDescent="0.2">
      <c r="A35">
        <v>41</v>
      </c>
      <c r="B35">
        <f t="shared" si="0"/>
        <v>2056</v>
      </c>
      <c r="C35">
        <v>0</v>
      </c>
      <c r="D35" s="3">
        <v>0</v>
      </c>
      <c r="E35" s="3">
        <v>0</v>
      </c>
      <c r="F35" s="3">
        <v>0</v>
      </c>
      <c r="G35" s="3">
        <v>0</v>
      </c>
      <c r="H35" s="3">
        <v>0</v>
      </c>
      <c r="I35" s="3">
        <v>0</v>
      </c>
      <c r="J35" s="3">
        <v>7.2294804078328806E-2</v>
      </c>
      <c r="K35" s="3">
        <v>0</v>
      </c>
      <c r="L35" s="3">
        <v>375.25661228355801</v>
      </c>
      <c r="M35" s="3">
        <v>0</v>
      </c>
      <c r="N35" s="3">
        <v>1551.8253149986499</v>
      </c>
      <c r="O35" s="3">
        <v>0</v>
      </c>
      <c r="P35" s="3">
        <v>220.07443877598399</v>
      </c>
      <c r="Q35" s="3">
        <v>0</v>
      </c>
      <c r="R35" s="3">
        <v>0</v>
      </c>
      <c r="S35" s="3">
        <v>0</v>
      </c>
      <c r="T35" s="3">
        <v>338.41433374883002</v>
      </c>
      <c r="U35" s="3">
        <v>325.83232438472498</v>
      </c>
      <c r="V35" s="3">
        <v>116.790040426925</v>
      </c>
      <c r="W35" s="3">
        <v>399.93041795563403</v>
      </c>
    </row>
    <row r="36" spans="1:23" hidden="1" x14ac:dyDescent="0.2">
      <c r="A36">
        <v>42</v>
      </c>
      <c r="B36">
        <f t="shared" si="0"/>
        <v>2057</v>
      </c>
      <c r="C36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0.889032534024362</v>
      </c>
      <c r="K36" s="3">
        <v>0</v>
      </c>
      <c r="L36" s="3">
        <v>376.82514933897602</v>
      </c>
      <c r="M36" s="3">
        <v>0</v>
      </c>
      <c r="N36" s="3">
        <v>2292.1289730998801</v>
      </c>
      <c r="O36" s="3">
        <v>0</v>
      </c>
      <c r="P36" s="3">
        <v>50.273174721543199</v>
      </c>
      <c r="Q36" s="3">
        <v>0</v>
      </c>
      <c r="R36" s="3">
        <v>0</v>
      </c>
      <c r="S36" s="3">
        <v>0</v>
      </c>
      <c r="T36" s="3">
        <v>339.82887359236599</v>
      </c>
      <c r="U36" s="3">
        <v>224.16437763744401</v>
      </c>
      <c r="V36" s="3">
        <v>119.49590462345699</v>
      </c>
      <c r="W36" s="3">
        <v>227.981337629053</v>
      </c>
    </row>
    <row r="37" spans="1:23" hidden="1" x14ac:dyDescent="0.2">
      <c r="A37">
        <v>43</v>
      </c>
      <c r="B37">
        <f t="shared" si="0"/>
        <v>2058</v>
      </c>
      <c r="C37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0.91112553887377101</v>
      </c>
      <c r="K37" s="3">
        <v>0</v>
      </c>
      <c r="L37" s="3">
        <v>378.57338684355801</v>
      </c>
      <c r="M37" s="3">
        <v>0</v>
      </c>
      <c r="N37" s="3">
        <v>3228.2541709195002</v>
      </c>
      <c r="O37" s="3">
        <v>0</v>
      </c>
      <c r="P37" s="3">
        <v>948.56445741780203</v>
      </c>
      <c r="Q37" s="3">
        <v>0</v>
      </c>
      <c r="R37" s="3">
        <v>0</v>
      </c>
      <c r="S37" s="3">
        <v>0</v>
      </c>
      <c r="T37" s="3">
        <v>341.40547108232897</v>
      </c>
      <c r="U37" s="3">
        <v>632.40572365652804</v>
      </c>
      <c r="V37" s="3">
        <v>122.352006036923</v>
      </c>
      <c r="W37" s="3">
        <v>429.447247739989</v>
      </c>
    </row>
    <row r="38" spans="1:23" hidden="1" x14ac:dyDescent="0.2">
      <c r="A38">
        <v>44</v>
      </c>
      <c r="B38">
        <f t="shared" si="0"/>
        <v>2059</v>
      </c>
      <c r="C38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0.92118246451228902</v>
      </c>
      <c r="K38" s="3">
        <v>0</v>
      </c>
      <c r="L38" s="3">
        <v>381.90339667093298</v>
      </c>
      <c r="M38" s="3">
        <v>0</v>
      </c>
      <c r="N38" s="3">
        <v>1670.1769890258799</v>
      </c>
      <c r="O38" s="3">
        <v>0</v>
      </c>
      <c r="P38" s="3">
        <v>64.276042062783105</v>
      </c>
      <c r="Q38" s="3">
        <v>0</v>
      </c>
      <c r="R38" s="3">
        <v>0</v>
      </c>
      <c r="S38" s="3">
        <v>0</v>
      </c>
      <c r="T38" s="3">
        <v>344.40854419858101</v>
      </c>
      <c r="U38" s="3">
        <v>227.18492209496799</v>
      </c>
      <c r="V38" s="3">
        <v>125.651771636663</v>
      </c>
      <c r="W38" s="3">
        <v>415.47823873646701</v>
      </c>
    </row>
    <row r="39" spans="1:23" hidden="1" x14ac:dyDescent="0.2">
      <c r="A39">
        <v>45</v>
      </c>
      <c r="B39">
        <f t="shared" si="0"/>
        <v>2060</v>
      </c>
      <c r="C39">
        <v>0</v>
      </c>
      <c r="D39" s="3">
        <v>0</v>
      </c>
      <c r="E39" s="3">
        <v>0</v>
      </c>
      <c r="F39" s="3">
        <v>0</v>
      </c>
      <c r="G39" s="3">
        <v>0</v>
      </c>
      <c r="H39" s="3">
        <v>0</v>
      </c>
      <c r="I39" s="3">
        <v>0</v>
      </c>
      <c r="J39" s="3">
        <v>0.87730255161880799</v>
      </c>
      <c r="K39" s="3">
        <v>0</v>
      </c>
      <c r="L39" s="3">
        <v>386.84336454973999</v>
      </c>
      <c r="M39" s="3">
        <v>0</v>
      </c>
      <c r="N39" s="3">
        <v>2595.0175214884598</v>
      </c>
      <c r="O39" s="3">
        <v>0</v>
      </c>
      <c r="P39" s="3">
        <v>67.842008704543801</v>
      </c>
      <c r="Q39" s="3">
        <v>0</v>
      </c>
      <c r="R39" s="3">
        <v>0</v>
      </c>
      <c r="S39" s="3">
        <v>0</v>
      </c>
      <c r="T39" s="3">
        <v>348.863511544831</v>
      </c>
      <c r="U39" s="3">
        <v>230.12341247807601</v>
      </c>
      <c r="V39" s="3">
        <v>129.41306011907099</v>
      </c>
      <c r="W39" s="3">
        <v>2087.3245319868502</v>
      </c>
    </row>
    <row r="40" spans="1:23" hidden="1" x14ac:dyDescent="0.2">
      <c r="A40">
        <v>8</v>
      </c>
      <c r="B40">
        <f t="shared" si="0"/>
        <v>2023</v>
      </c>
      <c r="C40">
        <v>6003</v>
      </c>
      <c r="D40" s="3">
        <v>0</v>
      </c>
      <c r="E40" s="3">
        <v>0</v>
      </c>
      <c r="F40" s="3">
        <v>0</v>
      </c>
      <c r="G40" s="3">
        <v>0</v>
      </c>
      <c r="H40" s="3">
        <v>0</v>
      </c>
      <c r="I40" s="3">
        <v>0</v>
      </c>
      <c r="J40" s="3">
        <v>5.5324457240216098E-2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51.370288694422797</v>
      </c>
      <c r="W40" s="3">
        <v>0</v>
      </c>
    </row>
    <row r="41" spans="1:23" hidden="1" x14ac:dyDescent="0.2">
      <c r="A41">
        <v>9</v>
      </c>
      <c r="B41">
        <f t="shared" si="0"/>
        <v>2024</v>
      </c>
      <c r="C41">
        <v>6003</v>
      </c>
      <c r="D41" s="3">
        <v>0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4.8126612443268303E-2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0</v>
      </c>
      <c r="T41" s="3">
        <v>0</v>
      </c>
      <c r="U41" s="3">
        <v>800.34301897326804</v>
      </c>
      <c r="V41" s="3">
        <v>40.454679441768398</v>
      </c>
      <c r="W41" s="3">
        <v>0</v>
      </c>
    </row>
    <row r="42" spans="1:23" hidden="1" x14ac:dyDescent="0.2">
      <c r="A42">
        <v>10</v>
      </c>
      <c r="B42">
        <f t="shared" si="0"/>
        <v>2025</v>
      </c>
      <c r="C42">
        <v>6003</v>
      </c>
      <c r="D42" s="3">
        <v>0</v>
      </c>
      <c r="E42" s="3">
        <v>0</v>
      </c>
      <c r="F42" s="3">
        <v>0</v>
      </c>
      <c r="G42" s="3">
        <v>0</v>
      </c>
      <c r="H42" s="3">
        <v>0</v>
      </c>
      <c r="I42" s="3">
        <v>0</v>
      </c>
      <c r="J42" s="3">
        <v>4.0714583751857103E-2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0</v>
      </c>
      <c r="T42" s="3">
        <v>0</v>
      </c>
      <c r="U42" s="3">
        <v>62.972679923563902</v>
      </c>
      <c r="V42" s="3">
        <v>27.9242179377258</v>
      </c>
      <c r="W42" s="3">
        <v>0</v>
      </c>
    </row>
    <row r="43" spans="1:23" hidden="1" x14ac:dyDescent="0.2">
      <c r="A43">
        <v>11</v>
      </c>
      <c r="B43">
        <f t="shared" si="0"/>
        <v>2026</v>
      </c>
      <c r="C43">
        <v>6003</v>
      </c>
      <c r="D43" s="3">
        <v>0</v>
      </c>
      <c r="E43" s="3">
        <v>0</v>
      </c>
      <c r="F43" s="3">
        <v>0</v>
      </c>
      <c r="G43" s="3">
        <v>0</v>
      </c>
      <c r="H43" s="3">
        <v>0</v>
      </c>
      <c r="I43" s="3">
        <v>0</v>
      </c>
      <c r="J43" s="3">
        <v>3.6785028704112799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260.67209036166003</v>
      </c>
      <c r="Q43" s="3">
        <v>0</v>
      </c>
      <c r="R43" s="3">
        <v>0</v>
      </c>
      <c r="S43" s="3">
        <v>0</v>
      </c>
      <c r="T43" s="3">
        <v>0</v>
      </c>
      <c r="U43" s="3">
        <v>18.216295750360999</v>
      </c>
      <c r="V43" s="3">
        <v>0</v>
      </c>
      <c r="W43" s="3">
        <v>317.67366875555399</v>
      </c>
    </row>
    <row r="44" spans="1:23" hidden="1" x14ac:dyDescent="0.2">
      <c r="A44">
        <v>12</v>
      </c>
      <c r="B44">
        <f t="shared" si="0"/>
        <v>2027</v>
      </c>
      <c r="C44">
        <v>6003</v>
      </c>
      <c r="D44" s="3">
        <v>0</v>
      </c>
      <c r="E44" s="3">
        <v>0</v>
      </c>
      <c r="F44" s="3">
        <v>0</v>
      </c>
      <c r="G44" s="3">
        <v>0</v>
      </c>
      <c r="H44" s="3">
        <v>0</v>
      </c>
      <c r="I44" s="3">
        <v>0</v>
      </c>
      <c r="J44" s="3">
        <v>3.7872847362028401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</row>
    <row r="45" spans="1:23" hidden="1" x14ac:dyDescent="0.2">
      <c r="A45">
        <v>13</v>
      </c>
      <c r="B45">
        <f t="shared" si="0"/>
        <v>2028</v>
      </c>
      <c r="C45">
        <v>6003</v>
      </c>
      <c r="D45" s="3">
        <v>0</v>
      </c>
      <c r="E45" s="3">
        <v>0</v>
      </c>
      <c r="F45" s="3">
        <v>0</v>
      </c>
      <c r="G45" s="3">
        <v>0</v>
      </c>
      <c r="H45" s="3">
        <v>0</v>
      </c>
      <c r="I45" s="3">
        <v>0</v>
      </c>
      <c r="J45" s="3">
        <v>3.89474615269727</v>
      </c>
      <c r="K45" s="3">
        <v>0</v>
      </c>
      <c r="L45" s="3">
        <v>0</v>
      </c>
      <c r="M45" s="3">
        <v>0</v>
      </c>
      <c r="N45" s="3">
        <v>1499.81180941658</v>
      </c>
      <c r="O45" s="3">
        <v>0</v>
      </c>
      <c r="P45" s="3">
        <v>1476.1497881003199</v>
      </c>
      <c r="Q45" s="3">
        <v>0</v>
      </c>
      <c r="R45" s="3">
        <v>0</v>
      </c>
      <c r="S45" s="3">
        <v>0</v>
      </c>
      <c r="T45" s="3">
        <v>0</v>
      </c>
      <c r="U45" s="3">
        <v>213.36560174866801</v>
      </c>
      <c r="V45" s="3">
        <v>0</v>
      </c>
      <c r="W45" s="3">
        <v>519.44951804795596</v>
      </c>
    </row>
    <row r="46" spans="1:23" hidden="1" x14ac:dyDescent="0.2">
      <c r="A46">
        <v>14</v>
      </c>
      <c r="B46">
        <f t="shared" si="0"/>
        <v>2029</v>
      </c>
      <c r="C46">
        <v>6003</v>
      </c>
      <c r="D46" s="3">
        <v>0</v>
      </c>
      <c r="E46" s="3">
        <v>0</v>
      </c>
      <c r="F46" s="3">
        <v>0</v>
      </c>
      <c r="G46" s="3">
        <v>0</v>
      </c>
      <c r="H46" s="3">
        <v>0</v>
      </c>
      <c r="I46" s="3">
        <v>0</v>
      </c>
      <c r="J46" s="3">
        <v>4.0358133656174999</v>
      </c>
      <c r="K46" s="3">
        <v>0</v>
      </c>
      <c r="L46" s="3">
        <v>0</v>
      </c>
      <c r="M46" s="3">
        <v>0</v>
      </c>
      <c r="N46" s="3">
        <v>1091.1515200896299</v>
      </c>
      <c r="O46" s="3">
        <v>0</v>
      </c>
      <c r="P46" s="3">
        <v>5.1703912390231901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8.4952339913416406</v>
      </c>
    </row>
    <row r="47" spans="1:23" hidden="1" x14ac:dyDescent="0.2">
      <c r="A47">
        <v>15</v>
      </c>
      <c r="B47">
        <f t="shared" si="0"/>
        <v>2030</v>
      </c>
      <c r="C47">
        <v>6003</v>
      </c>
      <c r="D47" s="3">
        <v>0</v>
      </c>
      <c r="E47" s="3">
        <v>0</v>
      </c>
      <c r="F47" s="3">
        <v>0</v>
      </c>
      <c r="G47" s="3">
        <v>0</v>
      </c>
      <c r="H47" s="3">
        <v>0</v>
      </c>
      <c r="I47" s="3">
        <v>0</v>
      </c>
      <c r="J47" s="3">
        <v>4.21061294975918</v>
      </c>
      <c r="K47" s="3">
        <v>0</v>
      </c>
      <c r="L47" s="3">
        <v>0</v>
      </c>
      <c r="M47" s="3">
        <v>0</v>
      </c>
      <c r="N47" s="3">
        <v>114.51750588837</v>
      </c>
      <c r="O47" s="3">
        <v>0</v>
      </c>
      <c r="P47" s="3">
        <v>6.9076202129533097</v>
      </c>
      <c r="Q47" s="3">
        <v>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90.5940481689195</v>
      </c>
    </row>
    <row r="48" spans="1:23" hidden="1" x14ac:dyDescent="0.2">
      <c r="A48">
        <v>16</v>
      </c>
      <c r="B48">
        <f t="shared" si="0"/>
        <v>2031</v>
      </c>
      <c r="C48">
        <v>6003</v>
      </c>
      <c r="D48" s="3">
        <v>0</v>
      </c>
      <c r="E48" s="3">
        <v>0</v>
      </c>
      <c r="F48" s="3">
        <v>0</v>
      </c>
      <c r="G48" s="3">
        <v>0</v>
      </c>
      <c r="H48" s="3">
        <v>0</v>
      </c>
      <c r="I48" s="3">
        <v>0</v>
      </c>
      <c r="J48" s="3">
        <v>4.4140101331204296</v>
      </c>
      <c r="K48" s="3">
        <v>0</v>
      </c>
      <c r="L48" s="3">
        <v>0</v>
      </c>
      <c r="M48" s="3">
        <v>0</v>
      </c>
      <c r="N48" s="3">
        <v>133.73462712087201</v>
      </c>
      <c r="O48" s="3">
        <v>0</v>
      </c>
      <c r="P48" s="3">
        <v>61.769213403121</v>
      </c>
      <c r="Q48" s="3">
        <v>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98.884756080497098</v>
      </c>
    </row>
    <row r="49" spans="1:23" hidden="1" x14ac:dyDescent="0.2">
      <c r="A49">
        <v>17</v>
      </c>
      <c r="B49">
        <f t="shared" si="0"/>
        <v>2032</v>
      </c>
      <c r="C49">
        <v>6003</v>
      </c>
      <c r="D49" s="3">
        <v>0</v>
      </c>
      <c r="E49" s="3">
        <v>0</v>
      </c>
      <c r="F49" s="3">
        <v>0</v>
      </c>
      <c r="G49" s="3">
        <v>0</v>
      </c>
      <c r="H49" s="3">
        <v>0</v>
      </c>
      <c r="I49" s="3">
        <v>0</v>
      </c>
      <c r="J49" s="3">
        <v>4.6640955288139203</v>
      </c>
      <c r="K49" s="3">
        <v>0</v>
      </c>
      <c r="L49" s="3">
        <v>0</v>
      </c>
      <c r="M49" s="3">
        <v>0</v>
      </c>
      <c r="N49" s="3">
        <v>867.16187918601804</v>
      </c>
      <c r="O49" s="3">
        <v>0</v>
      </c>
      <c r="P49" s="3">
        <v>9.4100101439900801</v>
      </c>
      <c r="Q49" s="3">
        <v>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48.483807924418798</v>
      </c>
    </row>
    <row r="50" spans="1:23" hidden="1" x14ac:dyDescent="0.2">
      <c r="A50">
        <v>18</v>
      </c>
      <c r="B50">
        <f t="shared" si="0"/>
        <v>2033</v>
      </c>
      <c r="C50">
        <v>6003</v>
      </c>
      <c r="D50" s="3">
        <v>0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4.9563870219004498</v>
      </c>
      <c r="K50" s="3">
        <v>0</v>
      </c>
      <c r="L50" s="3">
        <v>0</v>
      </c>
      <c r="M50" s="3">
        <v>0</v>
      </c>
      <c r="N50" s="3">
        <v>1795.4495488341599</v>
      </c>
      <c r="O50" s="3">
        <v>0</v>
      </c>
      <c r="P50" s="3">
        <v>10.933171739058899</v>
      </c>
      <c r="Q50" s="3">
        <v>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153.393035803988</v>
      </c>
    </row>
    <row r="51" spans="1:23" hidden="1" x14ac:dyDescent="0.2">
      <c r="A51">
        <v>19</v>
      </c>
      <c r="B51">
        <f t="shared" si="0"/>
        <v>2034</v>
      </c>
      <c r="C51">
        <v>6003</v>
      </c>
      <c r="D51" s="3">
        <v>0</v>
      </c>
      <c r="E51" s="3">
        <v>0</v>
      </c>
      <c r="F51" s="3">
        <v>0</v>
      </c>
      <c r="G51" s="3">
        <v>0</v>
      </c>
      <c r="H51" s="3">
        <v>0</v>
      </c>
      <c r="I51" s="3">
        <v>0</v>
      </c>
      <c r="J51" s="3">
        <v>5.2916977076858904</v>
      </c>
      <c r="K51" s="3">
        <v>0</v>
      </c>
      <c r="L51" s="3">
        <v>0</v>
      </c>
      <c r="M51" s="3">
        <v>0</v>
      </c>
      <c r="N51" s="3">
        <v>223.69527861057401</v>
      </c>
      <c r="O51" s="3">
        <v>0</v>
      </c>
      <c r="P51" s="3">
        <v>12.250995600604</v>
      </c>
      <c r="Q51" s="3">
        <v>0</v>
      </c>
      <c r="R51" s="3">
        <v>0</v>
      </c>
      <c r="S51" s="3">
        <v>0</v>
      </c>
      <c r="T51" s="3">
        <v>0</v>
      </c>
      <c r="U51" s="3">
        <v>55.621960869220402</v>
      </c>
      <c r="V51" s="3">
        <v>0</v>
      </c>
      <c r="W51" s="3">
        <v>85.0633829444414</v>
      </c>
    </row>
    <row r="52" spans="1:23" hidden="1" x14ac:dyDescent="0.2">
      <c r="A52">
        <v>20</v>
      </c>
      <c r="B52">
        <f t="shared" si="0"/>
        <v>2035</v>
      </c>
      <c r="C52">
        <v>6003</v>
      </c>
      <c r="D52" s="3">
        <v>0</v>
      </c>
      <c r="E52" s="3">
        <v>0</v>
      </c>
      <c r="F52" s="3">
        <v>0</v>
      </c>
      <c r="G52" s="3">
        <v>0</v>
      </c>
      <c r="H52" s="3">
        <v>0</v>
      </c>
      <c r="I52" s="3">
        <v>0</v>
      </c>
      <c r="J52" s="3">
        <v>5.6695425680616003</v>
      </c>
      <c r="K52" s="3">
        <v>0</v>
      </c>
      <c r="L52" s="3">
        <v>0</v>
      </c>
      <c r="M52" s="3">
        <v>0</v>
      </c>
      <c r="N52" s="3">
        <v>1132.4895933149101</v>
      </c>
      <c r="O52" s="3">
        <v>0</v>
      </c>
      <c r="P52" s="3">
        <v>13.7057428110469</v>
      </c>
      <c r="Q52" s="3">
        <v>0</v>
      </c>
      <c r="R52" s="3">
        <v>0</v>
      </c>
      <c r="S52" s="3">
        <v>0</v>
      </c>
      <c r="T52" s="3">
        <v>0</v>
      </c>
      <c r="U52" s="3">
        <v>695.93333692784699</v>
      </c>
      <c r="V52" s="3">
        <v>0</v>
      </c>
      <c r="W52" s="3">
        <v>3324.4673142286701</v>
      </c>
    </row>
    <row r="53" spans="1:23" hidden="1" x14ac:dyDescent="0.2">
      <c r="A53">
        <v>21</v>
      </c>
      <c r="B53">
        <f t="shared" si="0"/>
        <v>2036</v>
      </c>
      <c r="C53">
        <v>6003</v>
      </c>
      <c r="D53" s="3">
        <v>0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6.07333455595509</v>
      </c>
      <c r="K53" s="3">
        <v>0</v>
      </c>
      <c r="L53" s="3">
        <v>0</v>
      </c>
      <c r="M53" s="3">
        <v>0</v>
      </c>
      <c r="N53" s="3">
        <v>283.56469030742699</v>
      </c>
      <c r="O53" s="3">
        <v>0</v>
      </c>
      <c r="P53" s="3">
        <v>14.894790976842801</v>
      </c>
      <c r="Q53" s="3">
        <v>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58.5496115200988</v>
      </c>
    </row>
    <row r="54" spans="1:23" hidden="1" x14ac:dyDescent="0.2">
      <c r="A54">
        <v>22</v>
      </c>
      <c r="B54">
        <f t="shared" si="0"/>
        <v>2037</v>
      </c>
      <c r="C54">
        <v>6003</v>
      </c>
      <c r="D54" s="3">
        <v>0</v>
      </c>
      <c r="E54" s="3">
        <v>0</v>
      </c>
      <c r="F54" s="3">
        <v>0</v>
      </c>
      <c r="G54" s="3">
        <v>0</v>
      </c>
      <c r="H54" s="3">
        <v>0</v>
      </c>
      <c r="I54" s="3">
        <v>0</v>
      </c>
      <c r="J54" s="3">
        <v>7.3395419313341899</v>
      </c>
      <c r="K54" s="3">
        <v>0</v>
      </c>
      <c r="L54" s="3">
        <v>0</v>
      </c>
      <c r="M54" s="3">
        <v>0</v>
      </c>
      <c r="N54" s="3">
        <v>320.84195377397202</v>
      </c>
      <c r="O54" s="3">
        <v>0</v>
      </c>
      <c r="P54" s="3">
        <v>16.468365068547499</v>
      </c>
      <c r="Q54" s="3">
        <v>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67.453425551938295</v>
      </c>
    </row>
    <row r="55" spans="1:23" hidden="1" x14ac:dyDescent="0.2">
      <c r="A55">
        <v>23</v>
      </c>
      <c r="B55">
        <f t="shared" si="0"/>
        <v>2038</v>
      </c>
      <c r="C55">
        <v>6003</v>
      </c>
      <c r="D55" s="3">
        <v>0</v>
      </c>
      <c r="E55" s="3">
        <v>0</v>
      </c>
      <c r="F55" s="3">
        <v>0</v>
      </c>
      <c r="G55" s="3">
        <v>0</v>
      </c>
      <c r="H55" s="3">
        <v>0</v>
      </c>
      <c r="I55" s="3">
        <v>0</v>
      </c>
      <c r="J55" s="3">
        <v>7.8437172572978104</v>
      </c>
      <c r="K55" s="3">
        <v>0</v>
      </c>
      <c r="L55" s="3">
        <v>0</v>
      </c>
      <c r="M55" s="3">
        <v>0</v>
      </c>
      <c r="N55" s="3">
        <v>359.795532259742</v>
      </c>
      <c r="O55" s="3">
        <v>0</v>
      </c>
      <c r="P55" s="3">
        <v>18.046369931905499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135.40534100923901</v>
      </c>
    </row>
    <row r="56" spans="1:23" hidden="1" x14ac:dyDescent="0.2">
      <c r="A56">
        <v>24</v>
      </c>
      <c r="B56">
        <f t="shared" si="0"/>
        <v>2039</v>
      </c>
      <c r="C56">
        <v>6003</v>
      </c>
      <c r="D56" s="3">
        <v>0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8.3637010316113791</v>
      </c>
      <c r="K56" s="3">
        <v>0</v>
      </c>
      <c r="L56" s="3">
        <v>0</v>
      </c>
      <c r="M56" s="3">
        <v>0</v>
      </c>
      <c r="N56" s="3">
        <v>938.25579700537696</v>
      </c>
      <c r="O56" s="3">
        <v>0</v>
      </c>
      <c r="P56" s="3">
        <v>19.519099473588199</v>
      </c>
      <c r="Q56" s="3">
        <v>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94.8455813154591</v>
      </c>
    </row>
    <row r="57" spans="1:23" hidden="1" x14ac:dyDescent="0.2">
      <c r="A57">
        <v>25</v>
      </c>
      <c r="B57">
        <f t="shared" si="0"/>
        <v>2040</v>
      </c>
      <c r="C57">
        <v>6003</v>
      </c>
      <c r="D57" s="3">
        <v>0</v>
      </c>
      <c r="E57" s="3">
        <v>0</v>
      </c>
      <c r="F57" s="3">
        <v>0</v>
      </c>
      <c r="G57" s="3">
        <v>0</v>
      </c>
      <c r="H57" s="3">
        <v>0</v>
      </c>
      <c r="I57" s="3">
        <v>0</v>
      </c>
      <c r="J57" s="3">
        <v>8.8522491426155501</v>
      </c>
      <c r="K57" s="3">
        <v>0</v>
      </c>
      <c r="L57" s="3">
        <v>1869.85191944351</v>
      </c>
      <c r="M57" s="3">
        <v>0</v>
      </c>
      <c r="N57" s="3">
        <v>19529.9643695048</v>
      </c>
      <c r="O57" s="3">
        <v>0</v>
      </c>
      <c r="P57" s="3">
        <v>20.780678637815502</v>
      </c>
      <c r="Q57" s="3">
        <v>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86.119599503380002</v>
      </c>
    </row>
    <row r="58" spans="1:23" hidden="1" x14ac:dyDescent="0.2">
      <c r="A58">
        <v>26</v>
      </c>
      <c r="B58">
        <f t="shared" si="0"/>
        <v>2041</v>
      </c>
      <c r="C58">
        <v>6003</v>
      </c>
      <c r="D58" s="3">
        <v>0</v>
      </c>
      <c r="E58" s="3">
        <v>0</v>
      </c>
      <c r="F58" s="3">
        <v>0</v>
      </c>
      <c r="G58" s="3">
        <v>0</v>
      </c>
      <c r="H58" s="3">
        <v>0</v>
      </c>
      <c r="I58" s="3">
        <v>0</v>
      </c>
      <c r="J58" s="3">
        <v>9.4027215229449901</v>
      </c>
      <c r="K58" s="3">
        <v>0</v>
      </c>
      <c r="L58" s="3">
        <v>145.97459045904699</v>
      </c>
      <c r="M58" s="3">
        <v>0</v>
      </c>
      <c r="N58" s="3">
        <v>1594.36505584257</v>
      </c>
      <c r="O58" s="3">
        <v>0</v>
      </c>
      <c r="P58" s="3">
        <v>20.996879976050899</v>
      </c>
      <c r="Q58" s="3">
        <v>0</v>
      </c>
      <c r="R58" s="3">
        <v>0</v>
      </c>
      <c r="S58" s="3">
        <v>0</v>
      </c>
      <c r="T58" s="3">
        <v>1764.63351554769</v>
      </c>
      <c r="U58" s="3">
        <v>7.5555079698205398</v>
      </c>
      <c r="V58" s="3">
        <v>0</v>
      </c>
      <c r="W58" s="3">
        <v>0</v>
      </c>
    </row>
    <row r="59" spans="1:23" hidden="1" x14ac:dyDescent="0.2">
      <c r="A59">
        <v>27</v>
      </c>
      <c r="B59">
        <f t="shared" si="0"/>
        <v>2042</v>
      </c>
      <c r="C59">
        <v>6003</v>
      </c>
      <c r="D59" s="3">
        <v>0</v>
      </c>
      <c r="E59" s="3">
        <v>0</v>
      </c>
      <c r="F59" s="3">
        <v>0</v>
      </c>
      <c r="G59" s="3">
        <v>0</v>
      </c>
      <c r="H59" s="3">
        <v>0</v>
      </c>
      <c r="I59" s="3">
        <v>0</v>
      </c>
      <c r="J59" s="3">
        <v>9.1792310995485202</v>
      </c>
      <c r="K59" s="3">
        <v>0</v>
      </c>
      <c r="L59" s="3">
        <v>151.73784898266399</v>
      </c>
      <c r="M59" s="3">
        <v>0</v>
      </c>
      <c r="N59" s="3">
        <v>862.54436311266204</v>
      </c>
      <c r="O59" s="3">
        <v>0</v>
      </c>
      <c r="P59" s="3">
        <v>21.327359531170998</v>
      </c>
      <c r="Q59" s="3">
        <v>0</v>
      </c>
      <c r="R59" s="3">
        <v>0</v>
      </c>
      <c r="S59" s="3">
        <v>0</v>
      </c>
      <c r="T59" s="3">
        <v>659.37163815665497</v>
      </c>
      <c r="U59" s="3">
        <v>102.100495552909</v>
      </c>
      <c r="V59" s="3">
        <v>0</v>
      </c>
      <c r="W59" s="3">
        <v>0</v>
      </c>
    </row>
    <row r="60" spans="1:23" hidden="1" x14ac:dyDescent="0.2">
      <c r="A60">
        <v>28</v>
      </c>
      <c r="B60">
        <f t="shared" si="0"/>
        <v>2043</v>
      </c>
      <c r="C60">
        <v>6003</v>
      </c>
      <c r="D60" s="3">
        <v>0</v>
      </c>
      <c r="E60" s="3">
        <v>0</v>
      </c>
      <c r="F60" s="3">
        <v>0</v>
      </c>
      <c r="G60" s="3">
        <v>0</v>
      </c>
      <c r="H60" s="3">
        <v>0</v>
      </c>
      <c r="I60" s="3">
        <v>0</v>
      </c>
      <c r="J60" s="3">
        <v>9.7218591986954799</v>
      </c>
      <c r="K60" s="3">
        <v>0</v>
      </c>
      <c r="L60" s="3">
        <v>155.82311054909999</v>
      </c>
      <c r="M60" s="3">
        <v>0</v>
      </c>
      <c r="N60" s="3">
        <v>221.422915024058</v>
      </c>
      <c r="O60" s="3">
        <v>0</v>
      </c>
      <c r="P60" s="3">
        <v>21.4013270253025</v>
      </c>
      <c r="Q60" s="3">
        <v>0</v>
      </c>
      <c r="R60" s="3">
        <v>0</v>
      </c>
      <c r="S60" s="3">
        <v>0</v>
      </c>
      <c r="T60" s="3">
        <v>727.99582247373201</v>
      </c>
      <c r="U60" s="3">
        <v>141.62150165973</v>
      </c>
      <c r="V60" s="3">
        <v>383.445922574691</v>
      </c>
      <c r="W60" s="3">
        <v>0</v>
      </c>
    </row>
    <row r="61" spans="1:23" hidden="1" x14ac:dyDescent="0.2">
      <c r="A61">
        <v>29</v>
      </c>
      <c r="B61">
        <f t="shared" si="0"/>
        <v>2044</v>
      </c>
      <c r="C61">
        <v>6003</v>
      </c>
      <c r="D61" s="3">
        <v>0</v>
      </c>
      <c r="E61" s="3">
        <v>0</v>
      </c>
      <c r="F61" s="3">
        <v>0</v>
      </c>
      <c r="G61" s="3">
        <v>0</v>
      </c>
      <c r="H61" s="3">
        <v>0</v>
      </c>
      <c r="I61" s="3">
        <v>0</v>
      </c>
      <c r="J61" s="3">
        <v>10.2591196325872</v>
      </c>
      <c r="K61" s="3">
        <v>0</v>
      </c>
      <c r="L61" s="3">
        <v>8433.2467521096896</v>
      </c>
      <c r="M61" s="3">
        <v>0</v>
      </c>
      <c r="N61" s="3">
        <v>225.73285055880501</v>
      </c>
      <c r="O61" s="3">
        <v>0</v>
      </c>
      <c r="P61" s="3">
        <v>21.510158080669601</v>
      </c>
      <c r="Q61" s="3">
        <v>0</v>
      </c>
      <c r="R61" s="3">
        <v>0</v>
      </c>
      <c r="S61" s="3">
        <v>0</v>
      </c>
      <c r="T61" s="3">
        <v>1003.4013348680101</v>
      </c>
      <c r="U61" s="3">
        <v>472.02985509974201</v>
      </c>
      <c r="V61" s="3">
        <v>396.08950684913799</v>
      </c>
      <c r="W61" s="3">
        <v>0</v>
      </c>
    </row>
    <row r="62" spans="1:23" hidden="1" x14ac:dyDescent="0.2">
      <c r="A62">
        <v>30</v>
      </c>
      <c r="B62">
        <f t="shared" si="0"/>
        <v>2045</v>
      </c>
      <c r="C62">
        <v>6003</v>
      </c>
      <c r="D62" s="3">
        <v>0</v>
      </c>
      <c r="E62" s="3">
        <v>0</v>
      </c>
      <c r="F62" s="3">
        <v>0</v>
      </c>
      <c r="G62" s="3">
        <v>0</v>
      </c>
      <c r="H62" s="3">
        <v>0</v>
      </c>
      <c r="I62" s="3">
        <v>0</v>
      </c>
      <c r="J62" s="3">
        <v>10.790004408461</v>
      </c>
      <c r="K62" s="3">
        <v>0</v>
      </c>
      <c r="L62" s="3">
        <v>165.126604055646</v>
      </c>
      <c r="M62" s="3">
        <v>0</v>
      </c>
      <c r="N62" s="3">
        <v>3081.13545888312</v>
      </c>
      <c r="O62" s="3">
        <v>0</v>
      </c>
      <c r="P62" s="3">
        <v>21.6549515730688</v>
      </c>
      <c r="Q62" s="3">
        <v>0</v>
      </c>
      <c r="R62" s="3">
        <v>6778.7184598436397</v>
      </c>
      <c r="S62" s="3">
        <v>0</v>
      </c>
      <c r="T62" s="3">
        <v>1892.7054291588499</v>
      </c>
      <c r="U62" s="3">
        <v>1843.9960966252299</v>
      </c>
      <c r="V62" s="3">
        <v>303.98942872929598</v>
      </c>
      <c r="W62" s="3">
        <v>113.502000377266</v>
      </c>
    </row>
    <row r="63" spans="1:23" hidden="1" x14ac:dyDescent="0.2">
      <c r="A63">
        <v>31</v>
      </c>
      <c r="B63">
        <f t="shared" si="0"/>
        <v>2046</v>
      </c>
      <c r="C63">
        <v>6003</v>
      </c>
      <c r="D63" s="3">
        <v>0</v>
      </c>
      <c r="E63" s="3">
        <v>0</v>
      </c>
      <c r="F63" s="3">
        <v>0</v>
      </c>
      <c r="G63" s="3">
        <v>0</v>
      </c>
      <c r="H63" s="3">
        <v>0</v>
      </c>
      <c r="I63" s="3">
        <v>0</v>
      </c>
      <c r="J63" s="3">
        <v>14.9154490320393</v>
      </c>
      <c r="K63" s="3">
        <v>0</v>
      </c>
      <c r="L63" s="3">
        <v>168.11152115348</v>
      </c>
      <c r="M63" s="3">
        <v>0</v>
      </c>
      <c r="N63" s="3">
        <v>233.051534005478</v>
      </c>
      <c r="O63" s="3">
        <v>0</v>
      </c>
      <c r="P63" s="3">
        <v>21.542857670094101</v>
      </c>
      <c r="Q63" s="3">
        <v>0</v>
      </c>
      <c r="R63" s="3">
        <v>0</v>
      </c>
      <c r="S63" s="3">
        <v>0</v>
      </c>
      <c r="T63" s="3">
        <v>677.38927086803994</v>
      </c>
      <c r="U63" s="3">
        <v>198.89151708395499</v>
      </c>
      <c r="V63" s="3">
        <v>428.92563582378898</v>
      </c>
      <c r="W63" s="3">
        <v>645.046948021508</v>
      </c>
    </row>
    <row r="64" spans="1:23" hidden="1" x14ac:dyDescent="0.2">
      <c r="A64">
        <v>32</v>
      </c>
      <c r="B64">
        <f t="shared" si="0"/>
        <v>2047</v>
      </c>
      <c r="C64">
        <v>6003</v>
      </c>
      <c r="D64" s="3">
        <v>0</v>
      </c>
      <c r="E64" s="3">
        <v>0</v>
      </c>
      <c r="F64" s="3">
        <v>0</v>
      </c>
      <c r="G64" s="3">
        <v>0</v>
      </c>
      <c r="H64" s="3">
        <v>0</v>
      </c>
      <c r="I64" s="3">
        <v>0</v>
      </c>
      <c r="J64" s="3">
        <v>15.519214326954099</v>
      </c>
      <c r="K64" s="3">
        <v>0</v>
      </c>
      <c r="L64" s="3">
        <v>172.128173016955</v>
      </c>
      <c r="M64" s="3">
        <v>0</v>
      </c>
      <c r="N64" s="3">
        <v>490.08196024601</v>
      </c>
      <c r="O64" s="3">
        <v>0</v>
      </c>
      <c r="P64" s="3">
        <v>21.5537807193611</v>
      </c>
      <c r="Q64" s="3">
        <v>0</v>
      </c>
      <c r="R64" s="3">
        <v>0</v>
      </c>
      <c r="S64" s="3">
        <v>0</v>
      </c>
      <c r="T64" s="3">
        <v>1283.62213779944</v>
      </c>
      <c r="U64" s="3">
        <v>961.61165982996795</v>
      </c>
      <c r="V64" s="3">
        <v>8.7438467145852705</v>
      </c>
      <c r="W64" s="3">
        <v>212.56732211060699</v>
      </c>
    </row>
    <row r="65" spans="1:23" hidden="1" x14ac:dyDescent="0.2">
      <c r="A65">
        <v>33</v>
      </c>
      <c r="B65">
        <f t="shared" si="0"/>
        <v>2048</v>
      </c>
      <c r="C65">
        <v>6003</v>
      </c>
      <c r="D65" s="3">
        <v>0</v>
      </c>
      <c r="E65" s="3">
        <v>0</v>
      </c>
      <c r="F65" s="3">
        <v>0</v>
      </c>
      <c r="G65" s="3">
        <v>0</v>
      </c>
      <c r="H65" s="3">
        <v>0</v>
      </c>
      <c r="I65" s="3">
        <v>0</v>
      </c>
      <c r="J65" s="3">
        <v>16.107307424219002</v>
      </c>
      <c r="K65" s="3">
        <v>0</v>
      </c>
      <c r="L65" s="3">
        <v>177.340958403922</v>
      </c>
      <c r="M65" s="3">
        <v>0</v>
      </c>
      <c r="N65" s="3">
        <v>548.60144616682601</v>
      </c>
      <c r="O65" s="3">
        <v>0</v>
      </c>
      <c r="P65" s="3">
        <v>21.699324730084999</v>
      </c>
      <c r="Q65" s="3">
        <v>0</v>
      </c>
      <c r="R65" s="3">
        <v>0</v>
      </c>
      <c r="S65" s="3">
        <v>0</v>
      </c>
      <c r="T65" s="3">
        <v>0</v>
      </c>
      <c r="U65" s="3">
        <v>140.22934464630299</v>
      </c>
      <c r="V65" s="3">
        <v>0</v>
      </c>
      <c r="W65" s="3">
        <v>552.11844768372998</v>
      </c>
    </row>
    <row r="66" spans="1:23" hidden="1" x14ac:dyDescent="0.2">
      <c r="A66">
        <v>34</v>
      </c>
      <c r="B66">
        <f t="shared" si="0"/>
        <v>2049</v>
      </c>
      <c r="C66">
        <v>6003</v>
      </c>
      <c r="D66" s="3">
        <v>0</v>
      </c>
      <c r="E66" s="3">
        <v>0</v>
      </c>
      <c r="F66" s="3">
        <v>0</v>
      </c>
      <c r="G66" s="3">
        <v>0</v>
      </c>
      <c r="H66" s="3">
        <v>0</v>
      </c>
      <c r="I66" s="3">
        <v>0</v>
      </c>
      <c r="J66" s="3">
        <v>16.715507197505499</v>
      </c>
      <c r="K66" s="3">
        <v>0</v>
      </c>
      <c r="L66" s="3">
        <v>184.13438055660501</v>
      </c>
      <c r="M66" s="3">
        <v>0</v>
      </c>
      <c r="N66" s="3">
        <v>569.68379974380605</v>
      </c>
      <c r="O66" s="3">
        <v>0</v>
      </c>
      <c r="P66" s="3">
        <v>22.015964678832798</v>
      </c>
      <c r="Q66" s="3">
        <v>0</v>
      </c>
      <c r="R66" s="3">
        <v>0</v>
      </c>
      <c r="S66" s="3">
        <v>0</v>
      </c>
      <c r="T66" s="3">
        <v>1072.0387847008701</v>
      </c>
      <c r="U66" s="3">
        <v>448.10909540376201</v>
      </c>
      <c r="V66" s="3">
        <v>0</v>
      </c>
      <c r="W66" s="3">
        <v>212.29462262447399</v>
      </c>
    </row>
    <row r="67" spans="1:23" hidden="1" x14ac:dyDescent="0.2">
      <c r="A67">
        <v>35</v>
      </c>
      <c r="B67">
        <f t="shared" ref="B67:B130" si="1">+A67+2015</f>
        <v>2050</v>
      </c>
      <c r="C67">
        <v>6003</v>
      </c>
      <c r="D67" s="3">
        <v>0</v>
      </c>
      <c r="E67" s="3">
        <v>0</v>
      </c>
      <c r="F67" s="3">
        <v>0</v>
      </c>
      <c r="G67" s="3">
        <v>0</v>
      </c>
      <c r="H67" s="3">
        <v>0</v>
      </c>
      <c r="I67" s="3">
        <v>0</v>
      </c>
      <c r="J67" s="3">
        <v>17.344826721670401</v>
      </c>
      <c r="K67" s="3">
        <v>0</v>
      </c>
      <c r="L67" s="3">
        <v>191.88236287866101</v>
      </c>
      <c r="M67" s="3">
        <v>0</v>
      </c>
      <c r="N67" s="3">
        <v>593.72782831916504</v>
      </c>
      <c r="O67" s="3">
        <v>0</v>
      </c>
      <c r="P67" s="3">
        <v>22.418345566825501</v>
      </c>
      <c r="Q67" s="3">
        <v>0</v>
      </c>
      <c r="R67" s="3">
        <v>0</v>
      </c>
      <c r="S67" s="3">
        <v>0</v>
      </c>
      <c r="T67" s="3">
        <v>0</v>
      </c>
      <c r="U67" s="3">
        <v>122.329776579721</v>
      </c>
      <c r="V67" s="3">
        <v>0</v>
      </c>
      <c r="W67" s="3">
        <v>224.186906365125</v>
      </c>
    </row>
    <row r="68" spans="1:23" hidden="1" x14ac:dyDescent="0.2">
      <c r="A68">
        <v>36</v>
      </c>
      <c r="B68">
        <f t="shared" si="1"/>
        <v>2051</v>
      </c>
      <c r="C68">
        <v>6003</v>
      </c>
      <c r="D68" s="3">
        <v>0</v>
      </c>
      <c r="E68" s="3">
        <v>0</v>
      </c>
      <c r="F68" s="3">
        <v>0</v>
      </c>
      <c r="G68" s="3">
        <v>0</v>
      </c>
      <c r="H68" s="3">
        <v>0</v>
      </c>
      <c r="I68" s="3">
        <v>0</v>
      </c>
      <c r="J68" s="3">
        <v>17.8470421598523</v>
      </c>
      <c r="K68" s="3">
        <v>0</v>
      </c>
      <c r="L68" s="3">
        <v>221.53091004096399</v>
      </c>
      <c r="M68" s="3">
        <v>0</v>
      </c>
      <c r="N68" s="3">
        <v>686.13361035274897</v>
      </c>
      <c r="O68" s="3">
        <v>0</v>
      </c>
      <c r="P68" s="3">
        <v>25.882297989900099</v>
      </c>
      <c r="Q68" s="3">
        <v>0</v>
      </c>
      <c r="R68" s="3">
        <v>0</v>
      </c>
      <c r="S68" s="3">
        <v>0</v>
      </c>
      <c r="T68" s="3">
        <v>0</v>
      </c>
      <c r="U68" s="3">
        <v>117.51078957998099</v>
      </c>
      <c r="V68" s="3">
        <v>0</v>
      </c>
      <c r="W68" s="3">
        <v>267.65199847496899</v>
      </c>
    </row>
    <row r="69" spans="1:23" hidden="1" x14ac:dyDescent="0.2">
      <c r="A69">
        <v>37</v>
      </c>
      <c r="B69">
        <f t="shared" si="1"/>
        <v>2052</v>
      </c>
      <c r="C69">
        <v>6003</v>
      </c>
      <c r="D69" s="3">
        <v>0</v>
      </c>
      <c r="E69" s="3">
        <v>0</v>
      </c>
      <c r="F69" s="3">
        <v>0</v>
      </c>
      <c r="G69" s="3">
        <v>0</v>
      </c>
      <c r="H69" s="3">
        <v>0</v>
      </c>
      <c r="I69" s="3">
        <v>0</v>
      </c>
      <c r="J69" s="3">
        <v>18.455375437699601</v>
      </c>
      <c r="K69" s="3">
        <v>0</v>
      </c>
      <c r="L69" s="3">
        <v>222.16301044062399</v>
      </c>
      <c r="M69" s="3">
        <v>0</v>
      </c>
      <c r="N69" s="3">
        <v>688.08212666005295</v>
      </c>
      <c r="O69" s="3">
        <v>0</v>
      </c>
      <c r="P69" s="3">
        <v>25.956148681438101</v>
      </c>
      <c r="Q69" s="3">
        <v>0</v>
      </c>
      <c r="R69" s="3">
        <v>0</v>
      </c>
      <c r="S69" s="3">
        <v>0</v>
      </c>
      <c r="T69" s="3">
        <v>615.78561778648304</v>
      </c>
      <c r="U69" s="3">
        <v>1203.8220873185001</v>
      </c>
      <c r="V69" s="3">
        <v>0</v>
      </c>
      <c r="W69" s="3">
        <v>303.062890278618</v>
      </c>
    </row>
    <row r="70" spans="1:23" hidden="1" x14ac:dyDescent="0.2">
      <c r="A70">
        <v>38</v>
      </c>
      <c r="B70">
        <f t="shared" si="1"/>
        <v>2053</v>
      </c>
      <c r="C70">
        <v>6003</v>
      </c>
      <c r="D70" s="3">
        <v>0</v>
      </c>
      <c r="E70" s="3">
        <v>0</v>
      </c>
      <c r="F70" s="3">
        <v>0</v>
      </c>
      <c r="G70" s="3">
        <v>0</v>
      </c>
      <c r="H70" s="3">
        <v>0</v>
      </c>
      <c r="I70" s="3">
        <v>0</v>
      </c>
      <c r="J70" s="3">
        <v>19.0970075497004</v>
      </c>
      <c r="K70" s="3">
        <v>0</v>
      </c>
      <c r="L70" s="3">
        <v>220.51064262608699</v>
      </c>
      <c r="M70" s="3">
        <v>0</v>
      </c>
      <c r="N70" s="3">
        <v>2182.7531214084001</v>
      </c>
      <c r="O70" s="3">
        <v>0</v>
      </c>
      <c r="P70" s="3">
        <v>25.763096271022899</v>
      </c>
      <c r="Q70" s="3">
        <v>0</v>
      </c>
      <c r="R70" s="3">
        <v>0</v>
      </c>
      <c r="S70" s="3">
        <v>0</v>
      </c>
      <c r="T70" s="3">
        <v>0</v>
      </c>
      <c r="U70" s="3">
        <v>116.969590026913</v>
      </c>
      <c r="V70" s="3">
        <v>0</v>
      </c>
      <c r="W70" s="3">
        <v>319.169791552471</v>
      </c>
    </row>
    <row r="71" spans="1:23" hidden="1" x14ac:dyDescent="0.2">
      <c r="A71">
        <v>39</v>
      </c>
      <c r="B71">
        <f t="shared" si="1"/>
        <v>2054</v>
      </c>
      <c r="C71">
        <v>6003</v>
      </c>
      <c r="D71" s="3">
        <v>0</v>
      </c>
      <c r="E71" s="3">
        <v>0</v>
      </c>
      <c r="F71" s="3">
        <v>0</v>
      </c>
      <c r="G71" s="3">
        <v>0</v>
      </c>
      <c r="H71" s="3">
        <v>0</v>
      </c>
      <c r="I71" s="3">
        <v>0</v>
      </c>
      <c r="J71" s="3">
        <v>19.776179405122502</v>
      </c>
      <c r="K71" s="3">
        <v>0</v>
      </c>
      <c r="L71" s="3">
        <v>218.86191295342201</v>
      </c>
      <c r="M71" s="3">
        <v>0</v>
      </c>
      <c r="N71" s="3">
        <v>1768.96379582647</v>
      </c>
      <c r="O71" s="3">
        <v>0</v>
      </c>
      <c r="P71" s="3">
        <v>25.570468918548201</v>
      </c>
      <c r="Q71" s="3">
        <v>0</v>
      </c>
      <c r="R71" s="3">
        <v>0</v>
      </c>
      <c r="S71" s="3">
        <v>0</v>
      </c>
      <c r="T71" s="3">
        <v>0</v>
      </c>
      <c r="U71" s="3">
        <v>555.01313128139498</v>
      </c>
      <c r="V71" s="3">
        <v>0</v>
      </c>
      <c r="W71" s="3">
        <v>254.14463292106501</v>
      </c>
    </row>
    <row r="72" spans="1:23" hidden="1" x14ac:dyDescent="0.2">
      <c r="A72">
        <v>40</v>
      </c>
      <c r="B72">
        <f t="shared" si="1"/>
        <v>2055</v>
      </c>
      <c r="C72">
        <v>6003</v>
      </c>
      <c r="D72" s="3">
        <v>0</v>
      </c>
      <c r="E72" s="3">
        <v>0</v>
      </c>
      <c r="F72" s="3">
        <v>0</v>
      </c>
      <c r="G72" s="3">
        <v>0</v>
      </c>
      <c r="H72" s="3">
        <v>0</v>
      </c>
      <c r="I72" s="3">
        <v>0</v>
      </c>
      <c r="J72" s="3">
        <v>20.49239709918</v>
      </c>
      <c r="K72" s="3">
        <v>0</v>
      </c>
      <c r="L72" s="3">
        <v>215.14723148629</v>
      </c>
      <c r="M72" s="3">
        <v>0</v>
      </c>
      <c r="N72" s="3">
        <v>780.79000518145494</v>
      </c>
      <c r="O72" s="3">
        <v>0</v>
      </c>
      <c r="P72" s="3">
        <v>127.78733779111001</v>
      </c>
      <c r="Q72" s="3">
        <v>0</v>
      </c>
      <c r="R72" s="3">
        <v>0</v>
      </c>
      <c r="S72" s="3">
        <v>0</v>
      </c>
      <c r="T72" s="3">
        <v>638.40015703649999</v>
      </c>
      <c r="U72" s="3">
        <v>195.72015872802899</v>
      </c>
      <c r="V72" s="3">
        <v>0</v>
      </c>
      <c r="W72" s="3">
        <v>3571.31577319397</v>
      </c>
    </row>
    <row r="73" spans="1:23" hidden="1" x14ac:dyDescent="0.2">
      <c r="A73">
        <v>41</v>
      </c>
      <c r="B73">
        <f t="shared" si="1"/>
        <v>2056</v>
      </c>
      <c r="C73">
        <v>6003</v>
      </c>
      <c r="D73" s="3">
        <v>0</v>
      </c>
      <c r="E73" s="3">
        <v>0</v>
      </c>
      <c r="F73" s="3">
        <v>0</v>
      </c>
      <c r="G73" s="3">
        <v>0</v>
      </c>
      <c r="H73" s="3">
        <v>0</v>
      </c>
      <c r="I73" s="3">
        <v>0</v>
      </c>
      <c r="J73" s="3">
        <v>21.2322133942717</v>
      </c>
      <c r="K73" s="3">
        <v>0</v>
      </c>
      <c r="L73" s="3">
        <v>211.68102596452599</v>
      </c>
      <c r="M73" s="3">
        <v>0</v>
      </c>
      <c r="N73" s="3">
        <v>789.23912888414304</v>
      </c>
      <c r="O73" s="3">
        <v>0</v>
      </c>
      <c r="P73" s="3">
        <v>176.89878304995901</v>
      </c>
      <c r="Q73" s="3">
        <v>0</v>
      </c>
      <c r="R73" s="3">
        <v>0</v>
      </c>
      <c r="S73" s="3">
        <v>0</v>
      </c>
      <c r="T73" s="3">
        <v>0</v>
      </c>
      <c r="U73" s="3">
        <v>338.23650584739403</v>
      </c>
      <c r="V73" s="3">
        <v>0</v>
      </c>
      <c r="W73" s="3">
        <v>217.799858421506</v>
      </c>
    </row>
    <row r="74" spans="1:23" hidden="1" x14ac:dyDescent="0.2">
      <c r="A74">
        <v>42</v>
      </c>
      <c r="B74">
        <f t="shared" si="1"/>
        <v>2057</v>
      </c>
      <c r="C74">
        <v>6003</v>
      </c>
      <c r="D74" s="3">
        <v>0</v>
      </c>
      <c r="E74" s="3">
        <v>0</v>
      </c>
      <c r="F74" s="3">
        <v>0</v>
      </c>
      <c r="G74" s="3">
        <v>0</v>
      </c>
      <c r="H74" s="3">
        <v>0</v>
      </c>
      <c r="I74" s="3">
        <v>0</v>
      </c>
      <c r="J74" s="3">
        <v>22.835736137486901</v>
      </c>
      <c r="K74" s="3">
        <v>0</v>
      </c>
      <c r="L74" s="3">
        <v>209.58903961483699</v>
      </c>
      <c r="M74" s="3">
        <v>0</v>
      </c>
      <c r="N74" s="3">
        <v>1516.16346806151</v>
      </c>
      <c r="O74" s="3">
        <v>0</v>
      </c>
      <c r="P74" s="3">
        <v>26.6953821236072</v>
      </c>
      <c r="Q74" s="3">
        <v>0</v>
      </c>
      <c r="R74" s="3">
        <v>0</v>
      </c>
      <c r="S74" s="3">
        <v>0</v>
      </c>
      <c r="T74" s="3">
        <v>0</v>
      </c>
      <c r="U74" s="3">
        <v>348.16816301857199</v>
      </c>
      <c r="V74" s="3">
        <v>0</v>
      </c>
      <c r="W74" s="3">
        <v>236.321686957938</v>
      </c>
    </row>
    <row r="75" spans="1:23" hidden="1" x14ac:dyDescent="0.2">
      <c r="A75">
        <v>43</v>
      </c>
      <c r="B75">
        <f t="shared" si="1"/>
        <v>2058</v>
      </c>
      <c r="C75">
        <v>6003</v>
      </c>
      <c r="D75" s="3">
        <v>0</v>
      </c>
      <c r="E75" s="3">
        <v>0</v>
      </c>
      <c r="F75" s="3">
        <v>0</v>
      </c>
      <c r="G75" s="3">
        <v>0</v>
      </c>
      <c r="H75" s="3">
        <v>0</v>
      </c>
      <c r="I75" s="3">
        <v>0</v>
      </c>
      <c r="J75" s="3">
        <v>23.679906257847101</v>
      </c>
      <c r="K75" s="3">
        <v>0</v>
      </c>
      <c r="L75" s="3">
        <v>1049.9051799773299</v>
      </c>
      <c r="M75" s="3">
        <v>0</v>
      </c>
      <c r="N75" s="3">
        <v>2438.38313386237</v>
      </c>
      <c r="O75" s="3">
        <v>0</v>
      </c>
      <c r="P75" s="3">
        <v>919.54765761245903</v>
      </c>
      <c r="Q75" s="3">
        <v>0</v>
      </c>
      <c r="R75" s="3">
        <v>0</v>
      </c>
      <c r="S75" s="3">
        <v>0</v>
      </c>
      <c r="T75" s="3">
        <v>164.63303173601199</v>
      </c>
      <c r="U75" s="3">
        <v>0</v>
      </c>
      <c r="V75" s="3">
        <v>0</v>
      </c>
      <c r="W75" s="3">
        <v>66.703787869579898</v>
      </c>
    </row>
    <row r="76" spans="1:23" hidden="1" x14ac:dyDescent="0.2">
      <c r="A76">
        <v>44</v>
      </c>
      <c r="B76">
        <f t="shared" si="1"/>
        <v>2059</v>
      </c>
      <c r="C76">
        <v>6003</v>
      </c>
      <c r="D76" s="3">
        <v>0</v>
      </c>
      <c r="E76" s="3">
        <v>0</v>
      </c>
      <c r="F76" s="3">
        <v>0</v>
      </c>
      <c r="G76" s="3">
        <v>0</v>
      </c>
      <c r="H76" s="3">
        <v>0</v>
      </c>
      <c r="I76" s="3">
        <v>0</v>
      </c>
      <c r="J76" s="3">
        <v>24.545590845254001</v>
      </c>
      <c r="K76" s="3">
        <v>0</v>
      </c>
      <c r="L76" s="3">
        <v>281.30418694388197</v>
      </c>
      <c r="M76" s="3">
        <v>0</v>
      </c>
      <c r="N76" s="3">
        <v>864.46802634444202</v>
      </c>
      <c r="O76" s="3">
        <v>0</v>
      </c>
      <c r="P76" s="3">
        <v>32.213842746857402</v>
      </c>
      <c r="Q76" s="3">
        <v>0</v>
      </c>
      <c r="R76" s="3">
        <v>0</v>
      </c>
      <c r="S76" s="3">
        <v>0</v>
      </c>
      <c r="T76" s="3">
        <v>186.626547746988</v>
      </c>
      <c r="U76" s="3">
        <v>104.099746881315</v>
      </c>
      <c r="V76" s="3">
        <v>0</v>
      </c>
      <c r="W76" s="3">
        <v>156.78262163862499</v>
      </c>
    </row>
    <row r="77" spans="1:23" hidden="1" x14ac:dyDescent="0.2">
      <c r="A77">
        <v>45</v>
      </c>
      <c r="B77">
        <f t="shared" si="1"/>
        <v>2060</v>
      </c>
      <c r="C77">
        <v>6003</v>
      </c>
      <c r="D77" s="3">
        <v>0</v>
      </c>
      <c r="E77" s="3">
        <v>0</v>
      </c>
      <c r="F77" s="3">
        <v>0</v>
      </c>
      <c r="G77" s="3">
        <v>0</v>
      </c>
      <c r="H77" s="3">
        <v>0</v>
      </c>
      <c r="I77" s="3">
        <v>0</v>
      </c>
      <c r="J77" s="3">
        <v>25.387965424052702</v>
      </c>
      <c r="K77" s="3">
        <v>0</v>
      </c>
      <c r="L77" s="3">
        <v>36.5992819103191</v>
      </c>
      <c r="M77" s="3">
        <v>0</v>
      </c>
      <c r="N77" s="3">
        <v>1774.9692862240099</v>
      </c>
      <c r="O77" s="3">
        <v>0</v>
      </c>
      <c r="P77" s="3">
        <v>32.675301780912001</v>
      </c>
      <c r="Q77" s="3">
        <v>0</v>
      </c>
      <c r="R77" s="3">
        <v>0</v>
      </c>
      <c r="S77" s="3">
        <v>0</v>
      </c>
      <c r="T77" s="3">
        <v>187.12561128374301</v>
      </c>
      <c r="U77" s="3">
        <v>178.85927798147199</v>
      </c>
      <c r="V77" s="3">
        <v>0</v>
      </c>
      <c r="W77" s="3">
        <v>192.810789649969</v>
      </c>
    </row>
    <row r="78" spans="1:23" hidden="1" x14ac:dyDescent="0.2">
      <c r="A78">
        <v>8</v>
      </c>
      <c r="B78">
        <f t="shared" si="1"/>
        <v>2023</v>
      </c>
      <c r="C78">
        <v>6004</v>
      </c>
      <c r="D78" s="3">
        <v>0</v>
      </c>
      <c r="E78" s="3">
        <v>0</v>
      </c>
      <c r="F78" s="3">
        <v>0</v>
      </c>
      <c r="G78" s="3">
        <v>0</v>
      </c>
      <c r="H78" s="3">
        <v>0</v>
      </c>
      <c r="I78" s="3">
        <v>0</v>
      </c>
      <c r="J78" s="3">
        <v>9.0939510815845004E-2</v>
      </c>
      <c r="K78" s="3">
        <v>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0</v>
      </c>
      <c r="T78" s="3">
        <v>0</v>
      </c>
      <c r="U78" s="3">
        <v>0</v>
      </c>
      <c r="V78" s="3">
        <v>51.902558237164698</v>
      </c>
      <c r="W78" s="3">
        <v>0</v>
      </c>
    </row>
    <row r="79" spans="1:23" hidden="1" x14ac:dyDescent="0.2">
      <c r="A79">
        <v>9</v>
      </c>
      <c r="B79">
        <f t="shared" si="1"/>
        <v>2024</v>
      </c>
      <c r="C79">
        <v>6004</v>
      </c>
      <c r="D79" s="3">
        <v>0</v>
      </c>
      <c r="E79" s="3">
        <v>0</v>
      </c>
      <c r="F79" s="3">
        <v>0</v>
      </c>
      <c r="G79" s="3">
        <v>0</v>
      </c>
      <c r="H79" s="3">
        <v>0</v>
      </c>
      <c r="I79" s="3">
        <v>0</v>
      </c>
      <c r="J79" s="3">
        <v>8.4500275738988204E-2</v>
      </c>
      <c r="K79" s="3">
        <v>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>
        <v>0</v>
      </c>
      <c r="T79" s="3">
        <v>0</v>
      </c>
      <c r="U79" s="3">
        <v>889.42001167763203</v>
      </c>
      <c r="V79" s="3">
        <v>40.998840845540798</v>
      </c>
      <c r="W79" s="3">
        <v>0</v>
      </c>
    </row>
    <row r="80" spans="1:23" hidden="1" x14ac:dyDescent="0.2">
      <c r="A80">
        <v>10</v>
      </c>
      <c r="B80">
        <f t="shared" si="1"/>
        <v>2025</v>
      </c>
      <c r="C80">
        <v>6004</v>
      </c>
      <c r="D80" s="3">
        <v>0</v>
      </c>
      <c r="E80" s="3">
        <v>0</v>
      </c>
      <c r="F80" s="3">
        <v>0</v>
      </c>
      <c r="G80" s="3">
        <v>0</v>
      </c>
      <c r="H80" s="3">
        <v>0</v>
      </c>
      <c r="I80" s="3">
        <v>0</v>
      </c>
      <c r="J80" s="3">
        <v>7.7563909608689793E-2</v>
      </c>
      <c r="K80" s="3">
        <v>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  <c r="S80" s="3">
        <v>0</v>
      </c>
      <c r="T80" s="3">
        <v>0</v>
      </c>
      <c r="U80" s="3">
        <v>106.133972174627</v>
      </c>
      <c r="V80" s="3">
        <v>28.476362316653301</v>
      </c>
      <c r="W80" s="3">
        <v>0</v>
      </c>
    </row>
    <row r="81" spans="1:23" hidden="1" x14ac:dyDescent="0.2">
      <c r="A81">
        <v>11</v>
      </c>
      <c r="B81">
        <f t="shared" si="1"/>
        <v>2026</v>
      </c>
      <c r="C81">
        <v>6004</v>
      </c>
      <c r="D81" s="3">
        <v>0</v>
      </c>
      <c r="E81" s="3">
        <v>0</v>
      </c>
      <c r="F81" s="3">
        <v>0</v>
      </c>
      <c r="G81" s="3">
        <v>0</v>
      </c>
      <c r="H81" s="3">
        <v>0</v>
      </c>
      <c r="I81" s="3">
        <v>0</v>
      </c>
      <c r="J81" s="3">
        <v>15.6568535739132</v>
      </c>
      <c r="K81" s="3">
        <v>0</v>
      </c>
      <c r="L81" s="3">
        <v>0</v>
      </c>
      <c r="M81" s="3">
        <v>0</v>
      </c>
      <c r="N81" s="3">
        <v>0</v>
      </c>
      <c r="O81" s="3">
        <v>1647.60486291287</v>
      </c>
      <c r="P81" s="3">
        <v>86.203183176172303</v>
      </c>
      <c r="Q81" s="3">
        <v>0</v>
      </c>
      <c r="R81" s="3">
        <v>0</v>
      </c>
      <c r="S81" s="3">
        <v>0</v>
      </c>
      <c r="T81" s="3">
        <v>0</v>
      </c>
      <c r="U81" s="3">
        <v>1065.5175157977201</v>
      </c>
      <c r="V81" s="3">
        <v>0</v>
      </c>
      <c r="W81" s="3">
        <v>1247.3229502849999</v>
      </c>
    </row>
    <row r="82" spans="1:23" hidden="1" x14ac:dyDescent="0.2">
      <c r="A82">
        <v>12</v>
      </c>
      <c r="B82">
        <f t="shared" si="1"/>
        <v>2027</v>
      </c>
      <c r="C82">
        <v>6004</v>
      </c>
      <c r="D82" s="3">
        <v>0</v>
      </c>
      <c r="E82" s="3">
        <v>0</v>
      </c>
      <c r="F82" s="3">
        <v>0</v>
      </c>
      <c r="G82" s="3">
        <v>0</v>
      </c>
      <c r="H82" s="3">
        <v>0</v>
      </c>
      <c r="I82" s="3">
        <v>0</v>
      </c>
      <c r="J82" s="3">
        <v>17.512375722593301</v>
      </c>
      <c r="K82" s="3">
        <v>0</v>
      </c>
      <c r="L82" s="3">
        <v>0</v>
      </c>
      <c r="M82" s="3">
        <v>0</v>
      </c>
      <c r="N82" s="3">
        <v>0</v>
      </c>
      <c r="O82" s="3">
        <v>1664.99459632751</v>
      </c>
      <c r="P82" s="3">
        <v>621.058809626129</v>
      </c>
      <c r="Q82" s="3">
        <v>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365.95158507039997</v>
      </c>
    </row>
    <row r="83" spans="1:23" hidden="1" x14ac:dyDescent="0.2">
      <c r="A83">
        <v>13</v>
      </c>
      <c r="B83">
        <f t="shared" si="1"/>
        <v>2028</v>
      </c>
      <c r="C83">
        <v>6004</v>
      </c>
      <c r="D83" s="3">
        <v>0</v>
      </c>
      <c r="E83" s="3">
        <v>0</v>
      </c>
      <c r="F83" s="3">
        <v>0</v>
      </c>
      <c r="G83" s="3">
        <v>0</v>
      </c>
      <c r="H83" s="3">
        <v>0</v>
      </c>
      <c r="I83" s="3">
        <v>0</v>
      </c>
      <c r="J83" s="3">
        <v>21.841417907883301</v>
      </c>
      <c r="K83" s="3">
        <v>0</v>
      </c>
      <c r="L83" s="3">
        <v>0</v>
      </c>
      <c r="M83" s="3">
        <v>0</v>
      </c>
      <c r="N83" s="3">
        <v>0</v>
      </c>
      <c r="O83" s="3">
        <v>1683.9755186045199</v>
      </c>
      <c r="P83" s="3">
        <v>1686.2806670078601</v>
      </c>
      <c r="Q83" s="3">
        <v>0</v>
      </c>
      <c r="R83" s="3">
        <v>0</v>
      </c>
      <c r="S83" s="3">
        <v>0</v>
      </c>
      <c r="T83" s="3">
        <v>0</v>
      </c>
      <c r="U83" s="3">
        <v>3005.4560219161199</v>
      </c>
      <c r="V83" s="3">
        <v>0</v>
      </c>
      <c r="W83" s="3">
        <v>0</v>
      </c>
    </row>
    <row r="84" spans="1:23" hidden="1" x14ac:dyDescent="0.2">
      <c r="A84">
        <v>14</v>
      </c>
      <c r="B84">
        <f t="shared" si="1"/>
        <v>2029</v>
      </c>
      <c r="C84">
        <v>6004</v>
      </c>
      <c r="D84" s="3">
        <v>0</v>
      </c>
      <c r="E84" s="3">
        <v>0</v>
      </c>
      <c r="F84" s="3">
        <v>0</v>
      </c>
      <c r="G84" s="3">
        <v>0</v>
      </c>
      <c r="H84" s="3">
        <v>0</v>
      </c>
      <c r="I84" s="3">
        <v>0</v>
      </c>
      <c r="J84" s="3">
        <v>29.873415064548301</v>
      </c>
      <c r="K84" s="3">
        <v>0</v>
      </c>
      <c r="L84" s="3">
        <v>0</v>
      </c>
      <c r="M84" s="3">
        <v>0</v>
      </c>
      <c r="N84" s="3">
        <v>0</v>
      </c>
      <c r="O84" s="3">
        <v>1707.72531768967</v>
      </c>
      <c r="P84" s="3">
        <v>212.905995156074</v>
      </c>
      <c r="Q84" s="3">
        <v>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817.854309370588</v>
      </c>
    </row>
    <row r="85" spans="1:23" hidden="1" x14ac:dyDescent="0.2">
      <c r="A85">
        <v>15</v>
      </c>
      <c r="B85">
        <f t="shared" si="1"/>
        <v>2030</v>
      </c>
      <c r="C85">
        <v>6004</v>
      </c>
      <c r="D85" s="3">
        <v>0</v>
      </c>
      <c r="E85" s="3">
        <v>0</v>
      </c>
      <c r="F85" s="3">
        <v>0</v>
      </c>
      <c r="G85" s="3">
        <v>0</v>
      </c>
      <c r="H85" s="3">
        <v>0</v>
      </c>
      <c r="I85" s="3">
        <v>0</v>
      </c>
      <c r="J85" s="3">
        <v>33.634040325944</v>
      </c>
      <c r="K85" s="3">
        <v>0</v>
      </c>
      <c r="L85" s="3">
        <v>0</v>
      </c>
      <c r="M85" s="3">
        <v>0</v>
      </c>
      <c r="N85" s="3">
        <v>0</v>
      </c>
      <c r="O85" s="3">
        <v>1738.77860684097</v>
      </c>
      <c r="P85" s="3">
        <v>213.713062198232</v>
      </c>
      <c r="Q85" s="3">
        <v>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897.76936767471</v>
      </c>
    </row>
    <row r="86" spans="1:23" hidden="1" x14ac:dyDescent="0.2">
      <c r="A86">
        <v>16</v>
      </c>
      <c r="B86">
        <f t="shared" si="1"/>
        <v>2031</v>
      </c>
      <c r="C86">
        <v>6004</v>
      </c>
      <c r="D86" s="3">
        <v>0</v>
      </c>
      <c r="E86" s="3">
        <v>0</v>
      </c>
      <c r="F86" s="3">
        <v>0</v>
      </c>
      <c r="G86" s="3">
        <v>0</v>
      </c>
      <c r="H86" s="3">
        <v>0</v>
      </c>
      <c r="I86" s="3">
        <v>0</v>
      </c>
      <c r="J86" s="3">
        <v>37.587430071390997</v>
      </c>
      <c r="K86" s="3">
        <v>0</v>
      </c>
      <c r="L86" s="3">
        <v>0</v>
      </c>
      <c r="M86" s="3">
        <v>0</v>
      </c>
      <c r="N86" s="3">
        <v>0</v>
      </c>
      <c r="O86" s="3">
        <v>1768.5696249431301</v>
      </c>
      <c r="P86" s="3">
        <v>266.88035765998501</v>
      </c>
      <c r="Q86" s="3">
        <v>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899.59977094902297</v>
      </c>
    </row>
    <row r="87" spans="1:23" hidden="1" x14ac:dyDescent="0.2">
      <c r="A87">
        <v>17</v>
      </c>
      <c r="B87">
        <f t="shared" si="1"/>
        <v>2032</v>
      </c>
      <c r="C87">
        <v>6004</v>
      </c>
      <c r="D87" s="3">
        <v>0</v>
      </c>
      <c r="E87" s="3">
        <v>0</v>
      </c>
      <c r="F87" s="3">
        <v>0</v>
      </c>
      <c r="G87" s="3">
        <v>0</v>
      </c>
      <c r="H87" s="3">
        <v>0</v>
      </c>
      <c r="I87" s="3">
        <v>0</v>
      </c>
      <c r="J87" s="3">
        <v>41.795041937759102</v>
      </c>
      <c r="K87" s="3">
        <v>0</v>
      </c>
      <c r="L87" s="3">
        <v>0</v>
      </c>
      <c r="M87" s="3">
        <v>0</v>
      </c>
      <c r="N87" s="3">
        <v>0</v>
      </c>
      <c r="O87" s="3">
        <v>1805.0141574050299</v>
      </c>
      <c r="P87" s="3">
        <v>213.54440321937599</v>
      </c>
      <c r="Q87" s="3">
        <v>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845.37933383138602</v>
      </c>
    </row>
    <row r="88" spans="1:23" hidden="1" x14ac:dyDescent="0.2">
      <c r="A88">
        <v>18</v>
      </c>
      <c r="B88">
        <f t="shared" si="1"/>
        <v>2033</v>
      </c>
      <c r="C88">
        <v>6004</v>
      </c>
      <c r="D88" s="3">
        <v>0</v>
      </c>
      <c r="E88" s="3">
        <v>0</v>
      </c>
      <c r="F88" s="3">
        <v>0</v>
      </c>
      <c r="G88" s="3">
        <v>0</v>
      </c>
      <c r="H88" s="3">
        <v>0</v>
      </c>
      <c r="I88" s="3">
        <v>0</v>
      </c>
      <c r="J88" s="3">
        <v>46.196281216373499</v>
      </c>
      <c r="K88" s="3">
        <v>0</v>
      </c>
      <c r="L88" s="3">
        <v>0</v>
      </c>
      <c r="M88" s="3">
        <v>0</v>
      </c>
      <c r="N88" s="3">
        <v>0</v>
      </c>
      <c r="O88" s="3">
        <v>1844.0641373200101</v>
      </c>
      <c r="P88" s="3">
        <v>214.044109531288</v>
      </c>
      <c r="Q88" s="3">
        <v>0</v>
      </c>
      <c r="R88" s="3">
        <v>0</v>
      </c>
      <c r="S88" s="3">
        <v>0</v>
      </c>
      <c r="T88" s="3">
        <v>0</v>
      </c>
      <c r="U88" s="3">
        <v>1882.59883547903</v>
      </c>
      <c r="V88" s="3">
        <v>0</v>
      </c>
      <c r="W88" s="3">
        <v>43.376413700067502</v>
      </c>
    </row>
    <row r="89" spans="1:23" hidden="1" x14ac:dyDescent="0.2">
      <c r="A89">
        <v>19</v>
      </c>
      <c r="B89">
        <f t="shared" si="1"/>
        <v>2034</v>
      </c>
      <c r="C89">
        <v>6004</v>
      </c>
      <c r="D89" s="3">
        <v>0</v>
      </c>
      <c r="E89" s="3">
        <v>0</v>
      </c>
      <c r="F89" s="3">
        <v>0</v>
      </c>
      <c r="G89" s="3">
        <v>0</v>
      </c>
      <c r="H89" s="3">
        <v>0</v>
      </c>
      <c r="I89" s="3">
        <v>0</v>
      </c>
      <c r="J89" s="3">
        <v>50.772348308295498</v>
      </c>
      <c r="K89" s="3">
        <v>0</v>
      </c>
      <c r="L89" s="3">
        <v>0</v>
      </c>
      <c r="M89" s="3">
        <v>0</v>
      </c>
      <c r="N89" s="3">
        <v>0</v>
      </c>
      <c r="O89" s="3">
        <v>1885.4476589123601</v>
      </c>
      <c r="P89" s="3">
        <v>214.52039361109399</v>
      </c>
      <c r="Q89" s="3">
        <v>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900.016693013603</v>
      </c>
    </row>
    <row r="90" spans="1:23" hidden="1" x14ac:dyDescent="0.2">
      <c r="A90">
        <v>20</v>
      </c>
      <c r="B90">
        <f t="shared" si="1"/>
        <v>2035</v>
      </c>
      <c r="C90">
        <v>6004</v>
      </c>
      <c r="D90" s="3">
        <v>0</v>
      </c>
      <c r="E90" s="3">
        <v>0</v>
      </c>
      <c r="F90" s="3">
        <v>0</v>
      </c>
      <c r="G90" s="3">
        <v>0</v>
      </c>
      <c r="H90" s="3">
        <v>0</v>
      </c>
      <c r="I90" s="3">
        <v>0</v>
      </c>
      <c r="J90" s="3">
        <v>55.510409121006802</v>
      </c>
      <c r="K90" s="3">
        <v>0</v>
      </c>
      <c r="L90" s="3">
        <v>0</v>
      </c>
      <c r="M90" s="3">
        <v>0</v>
      </c>
      <c r="N90" s="3">
        <v>0</v>
      </c>
      <c r="O90" s="3">
        <v>1930.87680280633</v>
      </c>
      <c r="P90" s="3">
        <v>215.36006868919301</v>
      </c>
      <c r="Q90" s="3">
        <v>0</v>
      </c>
      <c r="R90" s="3">
        <v>0</v>
      </c>
      <c r="S90" s="3">
        <v>0</v>
      </c>
      <c r="T90" s="3">
        <v>0</v>
      </c>
      <c r="U90" s="3">
        <v>3195.0361860299899</v>
      </c>
      <c r="V90" s="3">
        <v>0</v>
      </c>
      <c r="W90" s="3">
        <v>2885.8531081051801</v>
      </c>
    </row>
    <row r="91" spans="1:23" hidden="1" x14ac:dyDescent="0.2">
      <c r="A91">
        <v>21</v>
      </c>
      <c r="B91">
        <f t="shared" si="1"/>
        <v>2036</v>
      </c>
      <c r="C91">
        <v>6004</v>
      </c>
      <c r="D91" s="3">
        <v>0</v>
      </c>
      <c r="E91" s="3">
        <v>0</v>
      </c>
      <c r="F91" s="3">
        <v>0</v>
      </c>
      <c r="G91" s="3">
        <v>0</v>
      </c>
      <c r="H91" s="3">
        <v>0</v>
      </c>
      <c r="I91" s="3">
        <v>0</v>
      </c>
      <c r="J91" s="3">
        <v>60.260973243066204</v>
      </c>
      <c r="K91" s="3">
        <v>0</v>
      </c>
      <c r="L91" s="3">
        <v>0</v>
      </c>
      <c r="M91" s="3">
        <v>0</v>
      </c>
      <c r="N91" s="3">
        <v>0</v>
      </c>
      <c r="O91" s="3">
        <v>1976.6901116807301</v>
      </c>
      <c r="P91" s="3">
        <v>215.83452267161201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839.35181461055299</v>
      </c>
    </row>
    <row r="92" spans="1:23" hidden="1" x14ac:dyDescent="0.2">
      <c r="A92">
        <v>22</v>
      </c>
      <c r="B92">
        <f t="shared" si="1"/>
        <v>2037</v>
      </c>
      <c r="C92">
        <v>6004</v>
      </c>
      <c r="D92" s="3">
        <v>0</v>
      </c>
      <c r="E92" s="3">
        <v>0</v>
      </c>
      <c r="F92" s="3">
        <v>0</v>
      </c>
      <c r="G92" s="3">
        <v>0</v>
      </c>
      <c r="H92" s="3">
        <v>0</v>
      </c>
      <c r="I92" s="3">
        <v>0</v>
      </c>
      <c r="J92" s="3">
        <v>66.070045006364495</v>
      </c>
      <c r="K92" s="3">
        <v>0</v>
      </c>
      <c r="L92" s="3">
        <v>0</v>
      </c>
      <c r="M92" s="3">
        <v>0</v>
      </c>
      <c r="N92" s="3">
        <v>0</v>
      </c>
      <c r="O92" s="3">
        <v>2029.2921175752699</v>
      </c>
      <c r="P92" s="3">
        <v>217.15212566007199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845.80154271710899</v>
      </c>
    </row>
    <row r="93" spans="1:23" hidden="1" x14ac:dyDescent="0.2">
      <c r="A93">
        <v>23</v>
      </c>
      <c r="B93">
        <f t="shared" si="1"/>
        <v>2038</v>
      </c>
      <c r="C93">
        <v>6004</v>
      </c>
      <c r="D93" s="3">
        <v>0</v>
      </c>
      <c r="E93" s="3">
        <v>0</v>
      </c>
      <c r="F93" s="3">
        <v>0</v>
      </c>
      <c r="G93" s="3">
        <v>0</v>
      </c>
      <c r="H93" s="3">
        <v>0</v>
      </c>
      <c r="I93" s="3">
        <v>0</v>
      </c>
      <c r="J93" s="3">
        <v>62.805433158453198</v>
      </c>
      <c r="K93" s="3">
        <v>0</v>
      </c>
      <c r="L93" s="3">
        <v>0</v>
      </c>
      <c r="M93" s="3">
        <v>0</v>
      </c>
      <c r="N93" s="3">
        <v>0</v>
      </c>
      <c r="O93" s="3">
        <v>2086.8254713134402</v>
      </c>
      <c r="P93" s="3">
        <v>218.85561879462799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912.76458157721197</v>
      </c>
    </row>
    <row r="94" spans="1:23" hidden="1" x14ac:dyDescent="0.2">
      <c r="A94">
        <v>24</v>
      </c>
      <c r="B94">
        <f t="shared" si="1"/>
        <v>2039</v>
      </c>
      <c r="C94">
        <v>6004</v>
      </c>
      <c r="D94" s="3">
        <v>0</v>
      </c>
      <c r="E94" s="3">
        <v>0</v>
      </c>
      <c r="F94" s="3">
        <v>0</v>
      </c>
      <c r="G94" s="3">
        <v>0</v>
      </c>
      <c r="H94" s="3">
        <v>0</v>
      </c>
      <c r="I94" s="3">
        <v>0</v>
      </c>
      <c r="J94" s="3">
        <v>66.508977788876507</v>
      </c>
      <c r="K94" s="3">
        <v>0</v>
      </c>
      <c r="L94" s="3">
        <v>0</v>
      </c>
      <c r="M94" s="3">
        <v>0</v>
      </c>
      <c r="N94" s="3">
        <v>0</v>
      </c>
      <c r="O94" s="3">
        <v>2145.3900056764801</v>
      </c>
      <c r="P94" s="3">
        <v>220.28720266612299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870.27319032592902</v>
      </c>
    </row>
    <row r="95" spans="1:23" hidden="1" x14ac:dyDescent="0.2">
      <c r="A95">
        <v>25</v>
      </c>
      <c r="B95">
        <f t="shared" si="1"/>
        <v>2040</v>
      </c>
      <c r="C95">
        <v>6004</v>
      </c>
      <c r="D95" s="3">
        <v>0</v>
      </c>
      <c r="E95" s="3">
        <v>0</v>
      </c>
      <c r="F95" s="3">
        <v>0</v>
      </c>
      <c r="G95" s="3">
        <v>0</v>
      </c>
      <c r="H95" s="3">
        <v>0</v>
      </c>
      <c r="I95" s="3">
        <v>0</v>
      </c>
      <c r="J95" s="3">
        <v>70.183761830717401</v>
      </c>
      <c r="K95" s="3">
        <v>0</v>
      </c>
      <c r="L95" s="3">
        <v>0</v>
      </c>
      <c r="M95" s="3">
        <v>0</v>
      </c>
      <c r="N95" s="3">
        <v>11582.799520656101</v>
      </c>
      <c r="O95" s="3">
        <v>2203.38992763951</v>
      </c>
      <c r="P95" s="3">
        <v>221.27182397101799</v>
      </c>
      <c r="Q95" s="3">
        <v>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2243.6778375283998</v>
      </c>
    </row>
    <row r="96" spans="1:23" hidden="1" x14ac:dyDescent="0.2">
      <c r="A96">
        <v>26</v>
      </c>
      <c r="B96">
        <f t="shared" si="1"/>
        <v>2041</v>
      </c>
      <c r="C96">
        <v>6004</v>
      </c>
      <c r="D96" s="3">
        <v>0</v>
      </c>
      <c r="E96" s="3">
        <v>0</v>
      </c>
      <c r="F96" s="3">
        <v>0</v>
      </c>
      <c r="G96" s="3">
        <v>0</v>
      </c>
      <c r="H96" s="3">
        <v>0</v>
      </c>
      <c r="I96" s="3">
        <v>0</v>
      </c>
      <c r="J96" s="3">
        <v>73.539144872747997</v>
      </c>
      <c r="K96" s="3">
        <v>0</v>
      </c>
      <c r="L96" s="3">
        <v>0</v>
      </c>
      <c r="M96" s="3">
        <v>0</v>
      </c>
      <c r="N96" s="3">
        <v>0</v>
      </c>
      <c r="O96" s="3">
        <v>2244.55695540126</v>
      </c>
      <c r="P96" s="3">
        <v>219.605468207249</v>
      </c>
      <c r="Q96" s="3">
        <v>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</row>
    <row r="97" spans="1:23" hidden="1" x14ac:dyDescent="0.2">
      <c r="A97">
        <v>27</v>
      </c>
      <c r="B97">
        <f t="shared" si="1"/>
        <v>2042</v>
      </c>
      <c r="C97">
        <v>6004</v>
      </c>
      <c r="D97" s="3">
        <v>0</v>
      </c>
      <c r="E97" s="3">
        <v>0</v>
      </c>
      <c r="F97" s="3">
        <v>0</v>
      </c>
      <c r="G97" s="3">
        <v>0</v>
      </c>
      <c r="H97" s="3">
        <v>0</v>
      </c>
      <c r="I97" s="3">
        <v>0</v>
      </c>
      <c r="J97" s="3">
        <v>76.242417740004697</v>
      </c>
      <c r="K97" s="3">
        <v>0</v>
      </c>
      <c r="L97" s="3">
        <v>0</v>
      </c>
      <c r="M97" s="3">
        <v>0</v>
      </c>
      <c r="N97" s="3">
        <v>0</v>
      </c>
      <c r="O97" s="3">
        <v>2284.8614331058502</v>
      </c>
      <c r="P97" s="3">
        <v>217.83497669835199</v>
      </c>
      <c r="Q97" s="3">
        <v>0</v>
      </c>
      <c r="R97" s="3">
        <v>0</v>
      </c>
      <c r="S97" s="3">
        <v>0</v>
      </c>
      <c r="T97" s="3">
        <v>0</v>
      </c>
      <c r="U97" s="3">
        <v>636.65418440448104</v>
      </c>
      <c r="V97" s="3">
        <v>0</v>
      </c>
      <c r="W97" s="3">
        <v>144.543706694582</v>
      </c>
    </row>
    <row r="98" spans="1:23" hidden="1" x14ac:dyDescent="0.2">
      <c r="A98">
        <v>28</v>
      </c>
      <c r="B98">
        <f t="shared" si="1"/>
        <v>2043</v>
      </c>
      <c r="C98">
        <v>6004</v>
      </c>
      <c r="D98" s="3">
        <v>0</v>
      </c>
      <c r="E98" s="3">
        <v>0</v>
      </c>
      <c r="F98" s="3">
        <v>0</v>
      </c>
      <c r="G98" s="3">
        <v>0</v>
      </c>
      <c r="H98" s="3">
        <v>0</v>
      </c>
      <c r="I98" s="3">
        <v>0</v>
      </c>
      <c r="J98" s="3">
        <v>79.648712455883896</v>
      </c>
      <c r="K98" s="3">
        <v>0</v>
      </c>
      <c r="L98" s="3">
        <v>0</v>
      </c>
      <c r="M98" s="3">
        <v>0</v>
      </c>
      <c r="N98" s="3">
        <v>0</v>
      </c>
      <c r="O98" s="3">
        <v>2318.3356633255498</v>
      </c>
      <c r="P98" s="3">
        <v>215.197876593746</v>
      </c>
      <c r="Q98" s="3">
        <v>0</v>
      </c>
      <c r="R98" s="3">
        <v>0</v>
      </c>
      <c r="S98" s="3">
        <v>0</v>
      </c>
      <c r="T98" s="3">
        <v>0</v>
      </c>
      <c r="U98" s="3">
        <v>587.25456396973198</v>
      </c>
      <c r="V98" s="3">
        <v>77.867867261255</v>
      </c>
      <c r="W98" s="3">
        <v>1.4784701186628699</v>
      </c>
    </row>
    <row r="99" spans="1:23" hidden="1" x14ac:dyDescent="0.2">
      <c r="A99">
        <v>29</v>
      </c>
      <c r="B99">
        <f t="shared" si="1"/>
        <v>2044</v>
      </c>
      <c r="C99">
        <v>6004</v>
      </c>
      <c r="D99" s="3">
        <v>0</v>
      </c>
      <c r="E99" s="3">
        <v>0</v>
      </c>
      <c r="F99" s="3">
        <v>0</v>
      </c>
      <c r="G99" s="3">
        <v>0</v>
      </c>
      <c r="H99" s="3">
        <v>0</v>
      </c>
      <c r="I99" s="3">
        <v>0</v>
      </c>
      <c r="J99" s="3">
        <v>82.990140711663699</v>
      </c>
      <c r="K99" s="3">
        <v>0</v>
      </c>
      <c r="L99" s="3">
        <v>3570.8950247566099</v>
      </c>
      <c r="M99" s="3">
        <v>0</v>
      </c>
      <c r="N99" s="3">
        <v>0</v>
      </c>
      <c r="O99" s="3">
        <v>2354.9335431770201</v>
      </c>
      <c r="P99" s="3">
        <v>213.033505574298</v>
      </c>
      <c r="Q99" s="3">
        <v>0</v>
      </c>
      <c r="R99" s="3">
        <v>0</v>
      </c>
      <c r="S99" s="3">
        <v>0</v>
      </c>
      <c r="T99" s="3">
        <v>0</v>
      </c>
      <c r="U99" s="3">
        <v>910.56173421632604</v>
      </c>
      <c r="V99" s="3">
        <v>391.45758375650001</v>
      </c>
      <c r="W99" s="3">
        <v>474.02469879825298</v>
      </c>
    </row>
    <row r="100" spans="1:23" hidden="1" x14ac:dyDescent="0.2">
      <c r="A100">
        <v>30</v>
      </c>
      <c r="B100">
        <f t="shared" si="1"/>
        <v>2045</v>
      </c>
      <c r="C100">
        <v>6004</v>
      </c>
      <c r="D100" s="3">
        <v>0</v>
      </c>
      <c r="E100" s="3">
        <v>0</v>
      </c>
      <c r="F100" s="3">
        <v>0</v>
      </c>
      <c r="G100" s="3">
        <v>0</v>
      </c>
      <c r="H100" s="3">
        <v>0</v>
      </c>
      <c r="I100" s="3">
        <v>0</v>
      </c>
      <c r="J100" s="3">
        <v>86.307932937058894</v>
      </c>
      <c r="K100" s="3">
        <v>0</v>
      </c>
      <c r="L100" s="3">
        <v>0</v>
      </c>
      <c r="M100" s="3">
        <v>0</v>
      </c>
      <c r="N100" s="3">
        <v>0</v>
      </c>
      <c r="O100" s="3">
        <v>2382.6486007414201</v>
      </c>
      <c r="P100" s="3">
        <v>209.846384219377</v>
      </c>
      <c r="Q100" s="3">
        <v>0</v>
      </c>
      <c r="R100" s="3">
        <v>6874.9110685676496</v>
      </c>
      <c r="S100" s="3">
        <v>0</v>
      </c>
      <c r="T100" s="3">
        <v>0</v>
      </c>
      <c r="U100" s="3">
        <v>2272.2881682731299</v>
      </c>
      <c r="V100" s="3">
        <v>300.92279834714901</v>
      </c>
      <c r="W100" s="3">
        <v>1950.0117184225001</v>
      </c>
    </row>
    <row r="101" spans="1:23" hidden="1" x14ac:dyDescent="0.2">
      <c r="A101">
        <v>31</v>
      </c>
      <c r="B101">
        <f t="shared" si="1"/>
        <v>2046</v>
      </c>
      <c r="C101">
        <v>6004</v>
      </c>
      <c r="D101" s="3">
        <v>0</v>
      </c>
      <c r="E101" s="3">
        <v>0</v>
      </c>
      <c r="F101" s="3">
        <v>0</v>
      </c>
      <c r="G101" s="3">
        <v>0</v>
      </c>
      <c r="H101" s="3">
        <v>0</v>
      </c>
      <c r="I101" s="3">
        <v>0</v>
      </c>
      <c r="J101" s="3">
        <v>104.77466230372799</v>
      </c>
      <c r="K101" s="3">
        <v>0</v>
      </c>
      <c r="L101" s="3">
        <v>0</v>
      </c>
      <c r="M101" s="3">
        <v>0</v>
      </c>
      <c r="N101" s="3">
        <v>0</v>
      </c>
      <c r="O101" s="3">
        <v>2400.5316837722298</v>
      </c>
      <c r="P101" s="3">
        <v>205.65203228846701</v>
      </c>
      <c r="Q101" s="3">
        <v>0</v>
      </c>
      <c r="R101" s="3">
        <v>0</v>
      </c>
      <c r="S101" s="3">
        <v>0</v>
      </c>
      <c r="T101" s="3">
        <v>0</v>
      </c>
      <c r="U101" s="3">
        <v>615.25692781329599</v>
      </c>
      <c r="V101" s="3">
        <v>427.72336679213203</v>
      </c>
      <c r="W101" s="3">
        <v>689.94408415515397</v>
      </c>
    </row>
    <row r="102" spans="1:23" hidden="1" x14ac:dyDescent="0.2">
      <c r="A102">
        <v>32</v>
      </c>
      <c r="B102">
        <f t="shared" si="1"/>
        <v>2047</v>
      </c>
      <c r="C102">
        <v>6004</v>
      </c>
      <c r="D102" s="3">
        <v>0</v>
      </c>
      <c r="E102" s="3">
        <v>0</v>
      </c>
      <c r="F102" s="3">
        <v>0</v>
      </c>
      <c r="G102" s="3">
        <v>0</v>
      </c>
      <c r="H102" s="3">
        <v>0</v>
      </c>
      <c r="I102" s="3">
        <v>0</v>
      </c>
      <c r="J102" s="3">
        <v>109.743184977073</v>
      </c>
      <c r="K102" s="3">
        <v>0</v>
      </c>
      <c r="L102" s="3">
        <v>0</v>
      </c>
      <c r="M102" s="3">
        <v>0</v>
      </c>
      <c r="N102" s="3">
        <v>0</v>
      </c>
      <c r="O102" s="3">
        <v>2415.9379549988798</v>
      </c>
      <c r="P102" s="3">
        <v>201.37734555818301</v>
      </c>
      <c r="Q102" s="3">
        <v>0</v>
      </c>
      <c r="R102" s="3">
        <v>0</v>
      </c>
      <c r="S102" s="3">
        <v>0</v>
      </c>
      <c r="T102" s="3">
        <v>0</v>
      </c>
      <c r="U102" s="3">
        <v>1365.47058830982</v>
      </c>
      <c r="V102" s="3">
        <v>9.1106445049198896</v>
      </c>
      <c r="W102" s="3">
        <v>529.85665527623303</v>
      </c>
    </row>
    <row r="103" spans="1:23" hidden="1" x14ac:dyDescent="0.2">
      <c r="A103">
        <v>33</v>
      </c>
      <c r="B103">
        <f t="shared" si="1"/>
        <v>2048</v>
      </c>
      <c r="C103">
        <v>6004</v>
      </c>
      <c r="D103" s="3">
        <v>0</v>
      </c>
      <c r="E103" s="3">
        <v>0</v>
      </c>
      <c r="F103" s="3">
        <v>0</v>
      </c>
      <c r="G103" s="3">
        <v>0</v>
      </c>
      <c r="H103" s="3">
        <v>0</v>
      </c>
      <c r="I103" s="3">
        <v>0</v>
      </c>
      <c r="J103" s="3">
        <v>117.206066831857</v>
      </c>
      <c r="K103" s="3">
        <v>0</v>
      </c>
      <c r="L103" s="3">
        <v>0</v>
      </c>
      <c r="M103" s="3">
        <v>0</v>
      </c>
      <c r="N103" s="3">
        <v>0</v>
      </c>
      <c r="O103" s="3">
        <v>2430.6250197660902</v>
      </c>
      <c r="P103" s="3">
        <v>197.21335756843899</v>
      </c>
      <c r="Q103" s="3">
        <v>0</v>
      </c>
      <c r="R103" s="3">
        <v>0</v>
      </c>
      <c r="S103" s="3">
        <v>0</v>
      </c>
      <c r="T103" s="3">
        <v>0</v>
      </c>
      <c r="U103" s="3">
        <v>531.49452404813906</v>
      </c>
      <c r="V103" s="3">
        <v>1.3304861436547699</v>
      </c>
      <c r="W103" s="3">
        <v>571.99360430489799</v>
      </c>
    </row>
    <row r="104" spans="1:23" hidden="1" x14ac:dyDescent="0.2">
      <c r="A104">
        <v>34</v>
      </c>
      <c r="B104">
        <f t="shared" si="1"/>
        <v>2049</v>
      </c>
      <c r="C104">
        <v>6004</v>
      </c>
      <c r="D104" s="3">
        <v>0</v>
      </c>
      <c r="E104" s="3">
        <v>0</v>
      </c>
      <c r="F104" s="3">
        <v>0</v>
      </c>
      <c r="G104" s="3">
        <v>0</v>
      </c>
      <c r="H104" s="3">
        <v>0</v>
      </c>
      <c r="I104" s="3">
        <v>0</v>
      </c>
      <c r="J104" s="3">
        <v>128.43693590784301</v>
      </c>
      <c r="K104" s="3">
        <v>0</v>
      </c>
      <c r="L104" s="3">
        <v>0</v>
      </c>
      <c r="M104" s="3">
        <v>0</v>
      </c>
      <c r="N104" s="3">
        <v>0</v>
      </c>
      <c r="O104" s="3">
        <v>2452.07698534272</v>
      </c>
      <c r="P104" s="3">
        <v>193.333306258807</v>
      </c>
      <c r="Q104" s="3">
        <v>0</v>
      </c>
      <c r="R104" s="3">
        <v>0</v>
      </c>
      <c r="S104" s="3">
        <v>0</v>
      </c>
      <c r="T104" s="3">
        <v>0</v>
      </c>
      <c r="U104" s="3">
        <v>827.00597685787898</v>
      </c>
      <c r="V104" s="3">
        <v>0</v>
      </c>
      <c r="W104" s="3">
        <v>1377.81653639098</v>
      </c>
    </row>
    <row r="105" spans="1:23" hidden="1" x14ac:dyDescent="0.2">
      <c r="A105">
        <v>35</v>
      </c>
      <c r="B105">
        <f t="shared" si="1"/>
        <v>2050</v>
      </c>
      <c r="C105">
        <v>6004</v>
      </c>
      <c r="D105" s="3">
        <v>0</v>
      </c>
      <c r="E105" s="3">
        <v>0</v>
      </c>
      <c r="F105" s="3">
        <v>0</v>
      </c>
      <c r="G105" s="3">
        <v>0</v>
      </c>
      <c r="H105" s="3">
        <v>0</v>
      </c>
      <c r="I105" s="3">
        <v>0</v>
      </c>
      <c r="J105" s="3">
        <v>135.44617429215</v>
      </c>
      <c r="K105" s="3">
        <v>0</v>
      </c>
      <c r="L105" s="3">
        <v>0</v>
      </c>
      <c r="M105" s="3">
        <v>0</v>
      </c>
      <c r="N105" s="3">
        <v>0</v>
      </c>
      <c r="O105" s="3">
        <v>2455.7265009279399</v>
      </c>
      <c r="P105" s="3">
        <v>189.50453757066299</v>
      </c>
      <c r="Q105" s="3">
        <v>0</v>
      </c>
      <c r="R105" s="3">
        <v>0</v>
      </c>
      <c r="S105" s="3">
        <v>0</v>
      </c>
      <c r="T105" s="3">
        <v>0</v>
      </c>
      <c r="U105" s="3">
        <v>537.60794548780996</v>
      </c>
      <c r="V105" s="3">
        <v>0</v>
      </c>
      <c r="W105" s="3">
        <v>1574.2292163259599</v>
      </c>
    </row>
    <row r="106" spans="1:23" hidden="1" x14ac:dyDescent="0.2">
      <c r="A106">
        <v>36</v>
      </c>
      <c r="B106">
        <f t="shared" si="1"/>
        <v>2051</v>
      </c>
      <c r="C106">
        <v>6004</v>
      </c>
      <c r="D106" s="3">
        <v>0</v>
      </c>
      <c r="E106" s="3">
        <v>0</v>
      </c>
      <c r="F106" s="3">
        <v>0</v>
      </c>
      <c r="G106" s="3">
        <v>0</v>
      </c>
      <c r="H106" s="3">
        <v>0</v>
      </c>
      <c r="I106" s="3">
        <v>0</v>
      </c>
      <c r="J106" s="3">
        <v>139.339839590385</v>
      </c>
      <c r="K106" s="3">
        <v>0</v>
      </c>
      <c r="L106" s="3">
        <v>0</v>
      </c>
      <c r="M106" s="3">
        <v>0</v>
      </c>
      <c r="N106" s="3">
        <v>0</v>
      </c>
      <c r="O106" s="3">
        <v>4430.9905649103002</v>
      </c>
      <c r="P106" s="3">
        <v>194.586005775252</v>
      </c>
      <c r="Q106" s="3">
        <v>0</v>
      </c>
      <c r="R106" s="3">
        <v>0</v>
      </c>
      <c r="S106" s="3">
        <v>0</v>
      </c>
      <c r="T106" s="3">
        <v>0</v>
      </c>
      <c r="U106" s="3">
        <v>432.91432511763799</v>
      </c>
      <c r="V106" s="3">
        <v>0</v>
      </c>
      <c r="W106" s="3">
        <v>1821.04656864257</v>
      </c>
    </row>
    <row r="107" spans="1:23" hidden="1" x14ac:dyDescent="0.2">
      <c r="A107">
        <v>37</v>
      </c>
      <c r="B107">
        <f t="shared" si="1"/>
        <v>2052</v>
      </c>
      <c r="C107">
        <v>6004</v>
      </c>
      <c r="D107" s="3">
        <v>0</v>
      </c>
      <c r="E107" s="3">
        <v>0</v>
      </c>
      <c r="F107" s="3">
        <v>0</v>
      </c>
      <c r="G107" s="3">
        <v>0</v>
      </c>
      <c r="H107" s="3">
        <v>0</v>
      </c>
      <c r="I107" s="3">
        <v>0</v>
      </c>
      <c r="J107" s="3">
        <v>146.27104696905801</v>
      </c>
      <c r="K107" s="3">
        <v>0</v>
      </c>
      <c r="L107" s="3">
        <v>0</v>
      </c>
      <c r="M107" s="3">
        <v>0</v>
      </c>
      <c r="N107" s="3">
        <v>0</v>
      </c>
      <c r="O107" s="3">
        <v>4406.8746342139502</v>
      </c>
      <c r="P107" s="3">
        <v>191.80368983916301</v>
      </c>
      <c r="Q107" s="3">
        <v>0</v>
      </c>
      <c r="R107" s="3">
        <v>0</v>
      </c>
      <c r="S107" s="3">
        <v>0</v>
      </c>
      <c r="T107" s="3">
        <v>0</v>
      </c>
      <c r="U107" s="3">
        <v>1588.8712974893101</v>
      </c>
      <c r="V107" s="3">
        <v>0</v>
      </c>
      <c r="W107" s="3">
        <v>2702.5247467915301</v>
      </c>
    </row>
    <row r="108" spans="1:23" hidden="1" x14ac:dyDescent="0.2">
      <c r="A108">
        <v>38</v>
      </c>
      <c r="B108">
        <f t="shared" si="1"/>
        <v>2053</v>
      </c>
      <c r="C108">
        <v>6004</v>
      </c>
      <c r="D108" s="3">
        <v>0</v>
      </c>
      <c r="E108" s="3">
        <v>0</v>
      </c>
      <c r="F108" s="3">
        <v>0</v>
      </c>
      <c r="G108" s="3">
        <v>0</v>
      </c>
      <c r="H108" s="3">
        <v>0</v>
      </c>
      <c r="I108" s="3">
        <v>0</v>
      </c>
      <c r="J108" s="3">
        <v>153.22197781660799</v>
      </c>
      <c r="K108" s="3">
        <v>0</v>
      </c>
      <c r="L108" s="3">
        <v>0</v>
      </c>
      <c r="M108" s="3">
        <v>0</v>
      </c>
      <c r="N108" s="3">
        <v>0</v>
      </c>
      <c r="O108" s="3">
        <v>4743.7065279231801</v>
      </c>
      <c r="P108" s="3">
        <v>269.98765881662803</v>
      </c>
      <c r="Q108" s="3">
        <v>0</v>
      </c>
      <c r="R108" s="3">
        <v>0</v>
      </c>
      <c r="S108" s="3">
        <v>0</v>
      </c>
      <c r="T108" s="3">
        <v>0</v>
      </c>
      <c r="U108" s="3">
        <v>427.74503814857502</v>
      </c>
      <c r="V108" s="3">
        <v>0</v>
      </c>
      <c r="W108" s="3">
        <v>6581.9071499609099</v>
      </c>
    </row>
    <row r="109" spans="1:23" hidden="1" x14ac:dyDescent="0.2">
      <c r="A109">
        <v>39</v>
      </c>
      <c r="B109">
        <f t="shared" si="1"/>
        <v>2054</v>
      </c>
      <c r="C109">
        <v>6004</v>
      </c>
      <c r="D109" s="3">
        <v>0</v>
      </c>
      <c r="E109" s="3">
        <v>0</v>
      </c>
      <c r="F109" s="3">
        <v>0</v>
      </c>
      <c r="G109" s="3">
        <v>0</v>
      </c>
      <c r="H109" s="3">
        <v>0</v>
      </c>
      <c r="I109" s="3">
        <v>0</v>
      </c>
      <c r="J109" s="3">
        <v>160.33129224112099</v>
      </c>
      <c r="K109" s="3">
        <v>0</v>
      </c>
      <c r="L109" s="3">
        <v>0</v>
      </c>
      <c r="M109" s="3">
        <v>0</v>
      </c>
      <c r="N109" s="3">
        <v>0</v>
      </c>
      <c r="O109" s="3">
        <v>3292.80360964487</v>
      </c>
      <c r="P109" s="3">
        <v>100.272132664797</v>
      </c>
      <c r="Q109" s="3">
        <v>0</v>
      </c>
      <c r="R109" s="3">
        <v>0</v>
      </c>
      <c r="S109" s="3">
        <v>0</v>
      </c>
      <c r="T109" s="3">
        <v>0</v>
      </c>
      <c r="U109" s="3">
        <v>1545.41880422535</v>
      </c>
      <c r="V109" s="3">
        <v>0</v>
      </c>
      <c r="W109" s="3">
        <v>0</v>
      </c>
    </row>
    <row r="110" spans="1:23" hidden="1" x14ac:dyDescent="0.2">
      <c r="A110">
        <v>40</v>
      </c>
      <c r="B110">
        <f t="shared" si="1"/>
        <v>2055</v>
      </c>
      <c r="C110">
        <v>6004</v>
      </c>
      <c r="D110" s="3">
        <v>0</v>
      </c>
      <c r="E110" s="3">
        <v>0</v>
      </c>
      <c r="F110" s="3">
        <v>0</v>
      </c>
      <c r="G110" s="3">
        <v>0</v>
      </c>
      <c r="H110" s="3">
        <v>0</v>
      </c>
      <c r="I110" s="3">
        <v>0</v>
      </c>
      <c r="J110" s="3">
        <v>306.521096409123</v>
      </c>
      <c r="K110" s="3">
        <v>0</v>
      </c>
      <c r="L110" s="3">
        <v>0</v>
      </c>
      <c r="M110" s="3">
        <v>0</v>
      </c>
      <c r="N110" s="3">
        <v>0</v>
      </c>
      <c r="O110" s="3">
        <v>8645.7984125230905</v>
      </c>
      <c r="P110" s="3">
        <v>579.53476184464898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</row>
    <row r="111" spans="1:23" hidden="1" x14ac:dyDescent="0.2">
      <c r="A111">
        <v>41</v>
      </c>
      <c r="B111">
        <f t="shared" si="1"/>
        <v>2056</v>
      </c>
      <c r="C111">
        <v>6004</v>
      </c>
      <c r="D111" s="3">
        <v>0</v>
      </c>
      <c r="E111" s="3">
        <v>0</v>
      </c>
      <c r="F111" s="3">
        <v>0</v>
      </c>
      <c r="G111" s="3">
        <v>0</v>
      </c>
      <c r="H111" s="3">
        <v>0</v>
      </c>
      <c r="I111" s="3">
        <v>0</v>
      </c>
      <c r="J111" s="3">
        <v>182.09204412196999</v>
      </c>
      <c r="K111" s="3">
        <v>0</v>
      </c>
      <c r="L111" s="3">
        <v>0</v>
      </c>
      <c r="M111" s="3">
        <v>0</v>
      </c>
      <c r="N111" s="3">
        <v>0</v>
      </c>
      <c r="O111" s="3">
        <v>3000.5253778444498</v>
      </c>
      <c r="P111" s="3">
        <v>228.368384452529</v>
      </c>
      <c r="Q111" s="3">
        <v>0</v>
      </c>
      <c r="R111" s="3">
        <v>0</v>
      </c>
      <c r="S111" s="3">
        <v>0</v>
      </c>
      <c r="T111" s="3">
        <v>0</v>
      </c>
      <c r="U111" s="3">
        <v>1260.9664691420401</v>
      </c>
      <c r="V111" s="3">
        <v>0</v>
      </c>
      <c r="W111" s="3">
        <v>0</v>
      </c>
    </row>
    <row r="112" spans="1:23" hidden="1" x14ac:dyDescent="0.2">
      <c r="A112">
        <v>42</v>
      </c>
      <c r="B112">
        <f t="shared" si="1"/>
        <v>2057</v>
      </c>
      <c r="C112">
        <v>6004</v>
      </c>
      <c r="D112" s="3">
        <v>0</v>
      </c>
      <c r="E112" s="3">
        <v>0</v>
      </c>
      <c r="F112" s="3">
        <v>0</v>
      </c>
      <c r="G112" s="3">
        <v>0</v>
      </c>
      <c r="H112" s="3">
        <v>0</v>
      </c>
      <c r="I112" s="3">
        <v>0</v>
      </c>
      <c r="J112" s="3">
        <v>190.493867460502</v>
      </c>
      <c r="K112" s="3">
        <v>0</v>
      </c>
      <c r="L112" s="3">
        <v>0</v>
      </c>
      <c r="M112" s="3">
        <v>0</v>
      </c>
      <c r="N112" s="3">
        <v>0</v>
      </c>
      <c r="O112" s="3">
        <v>2858.62933928035</v>
      </c>
      <c r="P112" s="3">
        <v>678.47494541601202</v>
      </c>
      <c r="Q112" s="3">
        <v>0</v>
      </c>
      <c r="R112" s="3">
        <v>0</v>
      </c>
      <c r="S112" s="3">
        <v>0</v>
      </c>
      <c r="T112" s="3">
        <v>0</v>
      </c>
      <c r="U112" s="3">
        <v>631.62651862514304</v>
      </c>
      <c r="V112" s="3">
        <v>0</v>
      </c>
      <c r="W112" s="3">
        <v>0</v>
      </c>
    </row>
    <row r="113" spans="1:23" hidden="1" x14ac:dyDescent="0.2">
      <c r="A113">
        <v>43</v>
      </c>
      <c r="B113">
        <f t="shared" si="1"/>
        <v>2058</v>
      </c>
      <c r="C113">
        <v>6004</v>
      </c>
      <c r="D113" s="3">
        <v>0</v>
      </c>
      <c r="E113" s="3">
        <v>0</v>
      </c>
      <c r="F113" s="3">
        <v>0</v>
      </c>
      <c r="G113" s="3">
        <v>0</v>
      </c>
      <c r="H113" s="3">
        <v>0</v>
      </c>
      <c r="I113" s="3">
        <v>0</v>
      </c>
      <c r="J113" s="3">
        <v>215.58347022356801</v>
      </c>
      <c r="K113" s="3">
        <v>0</v>
      </c>
      <c r="L113" s="3">
        <v>0</v>
      </c>
      <c r="M113" s="3">
        <v>0</v>
      </c>
      <c r="N113" s="3">
        <v>0</v>
      </c>
      <c r="O113" s="3">
        <v>2626.3072309478998</v>
      </c>
      <c r="P113" s="3">
        <v>1721.68104446896</v>
      </c>
      <c r="Q113" s="3">
        <v>0</v>
      </c>
      <c r="R113" s="3">
        <v>0</v>
      </c>
      <c r="S113" s="3">
        <v>0</v>
      </c>
      <c r="T113" s="3">
        <v>0</v>
      </c>
      <c r="U113" s="3">
        <v>2489.67749232497</v>
      </c>
      <c r="V113" s="3">
        <v>0</v>
      </c>
      <c r="W113" s="3">
        <v>0</v>
      </c>
    </row>
    <row r="114" spans="1:23" hidden="1" x14ac:dyDescent="0.2">
      <c r="A114">
        <v>44</v>
      </c>
      <c r="B114">
        <f t="shared" si="1"/>
        <v>2059</v>
      </c>
      <c r="C114">
        <v>6004</v>
      </c>
      <c r="D114" s="3">
        <v>0</v>
      </c>
      <c r="E114" s="3">
        <v>0</v>
      </c>
      <c r="F114" s="3">
        <v>0</v>
      </c>
      <c r="G114" s="3">
        <v>0</v>
      </c>
      <c r="H114" s="3">
        <v>0</v>
      </c>
      <c r="I114" s="3">
        <v>0</v>
      </c>
      <c r="J114" s="3">
        <v>0</v>
      </c>
      <c r="K114" s="3">
        <v>0</v>
      </c>
      <c r="L114" s="3">
        <v>0</v>
      </c>
      <c r="M114" s="3">
        <v>0</v>
      </c>
      <c r="N114" s="3">
        <v>0</v>
      </c>
      <c r="O114" s="3">
        <v>3583.5861750344902</v>
      </c>
      <c r="P114" s="3">
        <v>680.92275587450399</v>
      </c>
      <c r="Q114" s="3">
        <v>0</v>
      </c>
      <c r="R114" s="3">
        <v>0</v>
      </c>
      <c r="S114" s="3">
        <v>0</v>
      </c>
      <c r="T114" s="3">
        <v>0</v>
      </c>
      <c r="U114" s="3">
        <v>1411.42650140202</v>
      </c>
      <c r="V114" s="3">
        <v>0</v>
      </c>
      <c r="W114" s="3">
        <v>0</v>
      </c>
    </row>
    <row r="115" spans="1:23" hidden="1" x14ac:dyDescent="0.2">
      <c r="A115">
        <v>45</v>
      </c>
      <c r="B115">
        <f t="shared" si="1"/>
        <v>2060</v>
      </c>
      <c r="C115">
        <v>6004</v>
      </c>
      <c r="D115" s="3">
        <v>0</v>
      </c>
      <c r="E115" s="3">
        <v>0</v>
      </c>
      <c r="F115" s="3">
        <v>0</v>
      </c>
      <c r="G115" s="3">
        <v>0</v>
      </c>
      <c r="H115" s="3">
        <v>0</v>
      </c>
      <c r="I115" s="3">
        <v>0</v>
      </c>
      <c r="J115" s="3">
        <v>194.64625032109899</v>
      </c>
      <c r="K115" s="3">
        <v>0</v>
      </c>
      <c r="L115" s="3">
        <v>0</v>
      </c>
      <c r="M115" s="3">
        <v>0</v>
      </c>
      <c r="N115" s="3">
        <v>0</v>
      </c>
      <c r="O115" s="3">
        <v>43588.354409020401</v>
      </c>
      <c r="P115" s="3">
        <v>2470.2705768536798</v>
      </c>
      <c r="Q115" s="3">
        <v>0</v>
      </c>
      <c r="R115" s="3">
        <v>0</v>
      </c>
      <c r="S115" s="3">
        <v>0</v>
      </c>
      <c r="T115" s="3">
        <v>0</v>
      </c>
      <c r="U115" s="3">
        <v>8711.6226963420795</v>
      </c>
      <c r="V115" s="3">
        <v>0</v>
      </c>
      <c r="W115" s="3">
        <v>0</v>
      </c>
    </row>
    <row r="116" spans="1:23" x14ac:dyDescent="0.2">
      <c r="A116">
        <v>8</v>
      </c>
      <c r="B116">
        <f t="shared" si="1"/>
        <v>2023</v>
      </c>
      <c r="C116">
        <v>6005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9.0939510815845004E-2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51.902558237164698</v>
      </c>
      <c r="W116">
        <v>0</v>
      </c>
    </row>
    <row r="117" spans="1:23" x14ac:dyDescent="0.2">
      <c r="A117">
        <v>9</v>
      </c>
      <c r="B117">
        <f t="shared" si="1"/>
        <v>2024</v>
      </c>
      <c r="C117">
        <v>6005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8.4500275738988204E-2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889.42001167763704</v>
      </c>
      <c r="V117">
        <v>40.998840845540997</v>
      </c>
      <c r="W117">
        <v>0</v>
      </c>
    </row>
    <row r="118" spans="1:23" x14ac:dyDescent="0.2">
      <c r="A118">
        <v>10</v>
      </c>
      <c r="B118">
        <f t="shared" si="1"/>
        <v>2025</v>
      </c>
      <c r="C118">
        <v>6005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7.7563909608689197E-2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106.133972174615</v>
      </c>
      <c r="V118">
        <v>28.476362316652899</v>
      </c>
      <c r="W118">
        <v>0</v>
      </c>
    </row>
    <row r="119" spans="1:23" x14ac:dyDescent="0.2">
      <c r="A119">
        <v>11</v>
      </c>
      <c r="B119">
        <f t="shared" si="1"/>
        <v>2026</v>
      </c>
      <c r="C119">
        <v>6005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15.6568535739132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610.822707058525</v>
      </c>
      <c r="Q119">
        <v>0</v>
      </c>
      <c r="R119">
        <v>0</v>
      </c>
      <c r="S119">
        <v>0</v>
      </c>
      <c r="T119">
        <v>0</v>
      </c>
      <c r="U119">
        <v>3203.4734214181599</v>
      </c>
      <c r="V119">
        <v>0</v>
      </c>
      <c r="W119">
        <v>905.84717011672296</v>
      </c>
    </row>
    <row r="120" spans="1:23" x14ac:dyDescent="0.2">
      <c r="A120">
        <v>12</v>
      </c>
      <c r="B120">
        <f t="shared" si="1"/>
        <v>2027</v>
      </c>
      <c r="C120">
        <v>6005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17.512375722593301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1138.7591126791399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1039.94317890909</v>
      </c>
    </row>
    <row r="121" spans="1:23" x14ac:dyDescent="0.2">
      <c r="A121">
        <v>13</v>
      </c>
      <c r="B121">
        <f t="shared" si="1"/>
        <v>2028</v>
      </c>
      <c r="C121">
        <v>6005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21.841417907883301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2197.5604091831501</v>
      </c>
      <c r="Q121">
        <v>0</v>
      </c>
      <c r="R121">
        <v>0</v>
      </c>
      <c r="S121">
        <v>0</v>
      </c>
      <c r="T121">
        <v>0</v>
      </c>
      <c r="U121">
        <v>4393.5441995374704</v>
      </c>
      <c r="V121">
        <v>0</v>
      </c>
      <c r="W121">
        <v>0</v>
      </c>
    </row>
    <row r="122" spans="1:23" x14ac:dyDescent="0.2">
      <c r="A122">
        <v>14</v>
      </c>
      <c r="B122">
        <f t="shared" si="1"/>
        <v>2029</v>
      </c>
      <c r="C122">
        <v>6005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29.873415064548301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719.17350386331498</v>
      </c>
      <c r="Q122">
        <v>0</v>
      </c>
      <c r="R122">
        <v>0</v>
      </c>
      <c r="S122">
        <v>0</v>
      </c>
      <c r="T122">
        <v>0</v>
      </c>
      <c r="U122">
        <v>2412.5530752889199</v>
      </c>
      <c r="V122">
        <v>0</v>
      </c>
      <c r="W122">
        <v>319.967642109454</v>
      </c>
    </row>
    <row r="123" spans="1:23" x14ac:dyDescent="0.2">
      <c r="A123">
        <v>15</v>
      </c>
      <c r="B123">
        <f t="shared" si="1"/>
        <v>2030</v>
      </c>
      <c r="C123">
        <v>6005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33.634040325944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717.01425568860498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1552.06809440195</v>
      </c>
    </row>
    <row r="124" spans="1:23" x14ac:dyDescent="0.2">
      <c r="A124">
        <v>16</v>
      </c>
      <c r="B124">
        <f t="shared" si="1"/>
        <v>2031</v>
      </c>
      <c r="C124">
        <v>6005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37.587430071390997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766.68986831626603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1548.99972264146</v>
      </c>
    </row>
    <row r="125" spans="1:23" x14ac:dyDescent="0.2">
      <c r="A125">
        <v>17</v>
      </c>
      <c r="B125">
        <f t="shared" si="1"/>
        <v>2032</v>
      </c>
      <c r="C125">
        <v>6005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41.795041937759002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711.55889548229902</v>
      </c>
      <c r="Q125">
        <v>0</v>
      </c>
      <c r="R125">
        <v>0</v>
      </c>
      <c r="S125">
        <v>0</v>
      </c>
      <c r="T125">
        <v>0</v>
      </c>
      <c r="U125">
        <v>1144.13858879277</v>
      </c>
      <c r="V125">
        <v>0</v>
      </c>
      <c r="W125">
        <v>943.66496590571103</v>
      </c>
    </row>
    <row r="126" spans="1:23" x14ac:dyDescent="0.2">
      <c r="A126">
        <v>18</v>
      </c>
      <c r="B126">
        <f t="shared" si="1"/>
        <v>2033</v>
      </c>
      <c r="C126">
        <v>6005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46.196281216373599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710.74269796459305</v>
      </c>
      <c r="Q126">
        <v>0</v>
      </c>
      <c r="R126">
        <v>0</v>
      </c>
      <c r="S126">
        <v>0</v>
      </c>
      <c r="T126">
        <v>0</v>
      </c>
      <c r="U126">
        <v>1615.26814069184</v>
      </c>
      <c r="V126">
        <v>0</v>
      </c>
      <c r="W126">
        <v>816.09569463762898</v>
      </c>
    </row>
    <row r="127" spans="1:23" x14ac:dyDescent="0.2">
      <c r="A127">
        <v>19</v>
      </c>
      <c r="B127">
        <f t="shared" si="1"/>
        <v>2034</v>
      </c>
      <c r="C127">
        <v>6005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50.772348308295498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710.26755751766302</v>
      </c>
      <c r="Q127">
        <v>0</v>
      </c>
      <c r="R127">
        <v>0</v>
      </c>
      <c r="S127">
        <v>0</v>
      </c>
      <c r="T127">
        <v>0</v>
      </c>
      <c r="U127">
        <v>1473.2515643910399</v>
      </c>
      <c r="V127">
        <v>0</v>
      </c>
      <c r="W127">
        <v>887.99405934968104</v>
      </c>
    </row>
    <row r="128" spans="1:23" x14ac:dyDescent="0.2">
      <c r="A128">
        <v>20</v>
      </c>
      <c r="B128">
        <f t="shared" si="1"/>
        <v>2035</v>
      </c>
      <c r="C128">
        <v>6005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55.510409121006802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710.93059378806004</v>
      </c>
      <c r="Q128">
        <v>0</v>
      </c>
      <c r="R128">
        <v>0</v>
      </c>
      <c r="S128">
        <v>0</v>
      </c>
      <c r="T128">
        <v>0</v>
      </c>
      <c r="U128">
        <v>1546.7340620303301</v>
      </c>
      <c r="V128">
        <v>0</v>
      </c>
      <c r="W128">
        <v>4507.6306358880001</v>
      </c>
    </row>
    <row r="129" spans="1:23" x14ac:dyDescent="0.2">
      <c r="A129">
        <v>21</v>
      </c>
      <c r="B129">
        <f t="shared" si="1"/>
        <v>2036</v>
      </c>
      <c r="C129">
        <v>6005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60.260973243066204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711.02007101828997</v>
      </c>
      <c r="Q129">
        <v>0</v>
      </c>
      <c r="R129">
        <v>0</v>
      </c>
      <c r="S129">
        <v>0</v>
      </c>
      <c r="T129">
        <v>0</v>
      </c>
      <c r="U129">
        <v>1547.84136850909</v>
      </c>
      <c r="V129">
        <v>0</v>
      </c>
      <c r="W129">
        <v>926.08141095733299</v>
      </c>
    </row>
    <row r="130" spans="1:23" x14ac:dyDescent="0.2">
      <c r="A130">
        <v>22</v>
      </c>
      <c r="B130">
        <f t="shared" si="1"/>
        <v>2037</v>
      </c>
      <c r="C130">
        <v>6005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66.070045006364495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713.32328518311704</v>
      </c>
      <c r="Q130">
        <v>0</v>
      </c>
      <c r="R130">
        <v>0</v>
      </c>
      <c r="S130">
        <v>0</v>
      </c>
      <c r="T130">
        <v>0</v>
      </c>
      <c r="U130">
        <v>1554.32298669735</v>
      </c>
      <c r="V130">
        <v>0</v>
      </c>
      <c r="W130">
        <v>991.67660639723704</v>
      </c>
    </row>
    <row r="131" spans="1:23" x14ac:dyDescent="0.2">
      <c r="A131">
        <v>23</v>
      </c>
      <c r="B131">
        <f t="shared" ref="B131:B191" si="2">+A131+2015</f>
        <v>2038</v>
      </c>
      <c r="C131">
        <v>6005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62.805433158453198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716.82984251185201</v>
      </c>
      <c r="Q131">
        <v>0</v>
      </c>
      <c r="R131">
        <v>0</v>
      </c>
      <c r="S131">
        <v>0</v>
      </c>
      <c r="T131">
        <v>0</v>
      </c>
      <c r="U131">
        <v>1568.88089414149</v>
      </c>
      <c r="V131">
        <v>0</v>
      </c>
      <c r="W131">
        <v>1362.28340891529</v>
      </c>
    </row>
    <row r="132" spans="1:23" x14ac:dyDescent="0.2">
      <c r="A132">
        <v>24</v>
      </c>
      <c r="B132">
        <f t="shared" si="2"/>
        <v>2039</v>
      </c>
      <c r="C132">
        <v>6005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66.508977788876095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1458.77366190923</v>
      </c>
      <c r="Q132">
        <v>0</v>
      </c>
      <c r="R132">
        <v>0</v>
      </c>
      <c r="S132">
        <v>0</v>
      </c>
      <c r="T132">
        <v>0</v>
      </c>
      <c r="U132">
        <v>2318.8505393613</v>
      </c>
      <c r="V132">
        <v>0</v>
      </c>
      <c r="W132">
        <v>899.53606248878805</v>
      </c>
    </row>
    <row r="133" spans="1:23" x14ac:dyDescent="0.2">
      <c r="A133">
        <v>25</v>
      </c>
      <c r="B133">
        <f t="shared" si="2"/>
        <v>2040</v>
      </c>
      <c r="C133">
        <v>6005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193.726943999513</v>
      </c>
      <c r="K133">
        <v>0</v>
      </c>
      <c r="L133">
        <v>0</v>
      </c>
      <c r="M133">
        <v>0</v>
      </c>
      <c r="N133">
        <v>6133.4608124180604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1214.41848494224</v>
      </c>
      <c r="V133">
        <v>0</v>
      </c>
      <c r="W133">
        <v>4223.3455910033499</v>
      </c>
    </row>
    <row r="134" spans="1:23" x14ac:dyDescent="0.2">
      <c r="A134">
        <v>26</v>
      </c>
      <c r="B134">
        <f t="shared" si="2"/>
        <v>2041</v>
      </c>
      <c r="C134">
        <v>6005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317.54882971268898</v>
      </c>
      <c r="O134">
        <v>0</v>
      </c>
      <c r="P134">
        <v>1445.64831757509</v>
      </c>
      <c r="Q134">
        <v>0</v>
      </c>
      <c r="R134">
        <v>0</v>
      </c>
      <c r="S134">
        <v>0</v>
      </c>
      <c r="T134">
        <v>0</v>
      </c>
      <c r="U134">
        <v>1275.7256702913601</v>
      </c>
      <c r="V134">
        <v>0</v>
      </c>
      <c r="W134">
        <v>919.90041431421901</v>
      </c>
    </row>
    <row r="135" spans="1:23" x14ac:dyDescent="0.2">
      <c r="A135">
        <v>27</v>
      </c>
      <c r="B135">
        <f t="shared" si="2"/>
        <v>2042</v>
      </c>
      <c r="C135">
        <v>6005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81.321271816364003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767.57035204380895</v>
      </c>
      <c r="Q135">
        <v>0</v>
      </c>
      <c r="R135">
        <v>0</v>
      </c>
      <c r="S135">
        <v>0</v>
      </c>
      <c r="T135">
        <v>0</v>
      </c>
      <c r="U135">
        <v>1892.87269139249</v>
      </c>
      <c r="V135">
        <v>0</v>
      </c>
      <c r="W135">
        <v>425.5717292256</v>
      </c>
    </row>
    <row r="136" spans="1:23" x14ac:dyDescent="0.2">
      <c r="A136">
        <v>28</v>
      </c>
      <c r="B136">
        <f t="shared" si="2"/>
        <v>2043</v>
      </c>
      <c r="C136">
        <v>6005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123.217426956081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383.30682027338599</v>
      </c>
      <c r="Q136">
        <v>0</v>
      </c>
      <c r="R136">
        <v>0</v>
      </c>
      <c r="S136">
        <v>0</v>
      </c>
      <c r="T136">
        <v>0</v>
      </c>
      <c r="U136">
        <v>2252.1114768847801</v>
      </c>
      <c r="V136">
        <v>77.867867261255199</v>
      </c>
      <c r="W136">
        <v>0</v>
      </c>
    </row>
    <row r="137" spans="1:23" x14ac:dyDescent="0.2">
      <c r="A137">
        <v>29</v>
      </c>
      <c r="B137">
        <f t="shared" si="2"/>
        <v>2044</v>
      </c>
      <c r="C137">
        <v>6005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212.50163883146601</v>
      </c>
      <c r="K137">
        <v>0</v>
      </c>
      <c r="L137">
        <v>3547.6707780004499</v>
      </c>
      <c r="M137">
        <v>0</v>
      </c>
      <c r="N137">
        <v>0</v>
      </c>
      <c r="O137">
        <v>0</v>
      </c>
      <c r="P137">
        <v>1812.8582330540601</v>
      </c>
      <c r="Q137">
        <v>0</v>
      </c>
      <c r="R137">
        <v>0</v>
      </c>
      <c r="S137">
        <v>0</v>
      </c>
      <c r="T137">
        <v>0</v>
      </c>
      <c r="U137">
        <v>1854.76387482686</v>
      </c>
      <c r="V137">
        <v>391.45758375650098</v>
      </c>
      <c r="W137">
        <v>376.44892394565301</v>
      </c>
    </row>
    <row r="138" spans="1:23" x14ac:dyDescent="0.2">
      <c r="A138">
        <v>30</v>
      </c>
      <c r="B138">
        <f t="shared" si="2"/>
        <v>2045</v>
      </c>
      <c r="C138">
        <v>6005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106.20724886647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1745.94065599432</v>
      </c>
      <c r="Q138">
        <v>0</v>
      </c>
      <c r="R138">
        <v>7464.32131351113</v>
      </c>
      <c r="S138">
        <v>0</v>
      </c>
      <c r="T138">
        <v>0</v>
      </c>
      <c r="U138">
        <v>3358.5674056170501</v>
      </c>
      <c r="V138">
        <v>395.96685205143399</v>
      </c>
      <c r="W138">
        <v>2427.3042178391602</v>
      </c>
    </row>
    <row r="139" spans="1:23" x14ac:dyDescent="0.2">
      <c r="A139">
        <v>31</v>
      </c>
      <c r="B139">
        <f t="shared" si="2"/>
        <v>2046</v>
      </c>
      <c r="C139">
        <v>6005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84.172247212615204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1215.62511297844</v>
      </c>
      <c r="Q139">
        <v>0</v>
      </c>
      <c r="R139">
        <v>187.56565200581801</v>
      </c>
      <c r="S139">
        <v>0</v>
      </c>
      <c r="T139">
        <v>0</v>
      </c>
      <c r="U139">
        <v>1910.3803870182601</v>
      </c>
      <c r="V139">
        <v>343.12044373642198</v>
      </c>
      <c r="W139">
        <v>523.30665736573303</v>
      </c>
    </row>
    <row r="140" spans="1:23" x14ac:dyDescent="0.2">
      <c r="A140">
        <v>32</v>
      </c>
      <c r="B140">
        <f t="shared" si="2"/>
        <v>2047</v>
      </c>
      <c r="C140">
        <v>6005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172.195281141484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815.73391226177398</v>
      </c>
      <c r="Q140">
        <v>0</v>
      </c>
      <c r="R140">
        <v>809.542041950927</v>
      </c>
      <c r="S140">
        <v>0</v>
      </c>
      <c r="T140">
        <v>0</v>
      </c>
      <c r="U140">
        <v>2799.5339043222798</v>
      </c>
      <c r="V140">
        <v>0</v>
      </c>
      <c r="W140">
        <v>1352.7176873001799</v>
      </c>
    </row>
    <row r="141" spans="1:23" x14ac:dyDescent="0.2">
      <c r="A141">
        <v>33</v>
      </c>
      <c r="B141">
        <f t="shared" si="2"/>
        <v>2048</v>
      </c>
      <c r="C141">
        <v>6005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139.21329350662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916.65656166101701</v>
      </c>
      <c r="Q141">
        <v>0</v>
      </c>
      <c r="R141">
        <v>0</v>
      </c>
      <c r="S141">
        <v>0</v>
      </c>
      <c r="T141">
        <v>0</v>
      </c>
      <c r="U141">
        <v>2496.5768845530401</v>
      </c>
      <c r="V141">
        <v>0</v>
      </c>
      <c r="W141">
        <v>843.17744237873899</v>
      </c>
    </row>
    <row r="142" spans="1:23" x14ac:dyDescent="0.2">
      <c r="A142">
        <v>34</v>
      </c>
      <c r="B142">
        <f t="shared" si="2"/>
        <v>2049</v>
      </c>
      <c r="C142">
        <v>6005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151.18236379475701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1218.1563087224299</v>
      </c>
      <c r="Q142">
        <v>0</v>
      </c>
      <c r="R142">
        <v>0</v>
      </c>
      <c r="S142">
        <v>0</v>
      </c>
      <c r="T142">
        <v>0</v>
      </c>
      <c r="U142">
        <v>2668.4121006658702</v>
      </c>
      <c r="V142">
        <v>0</v>
      </c>
      <c r="W142">
        <v>1422.2813306353401</v>
      </c>
    </row>
    <row r="143" spans="1:23" x14ac:dyDescent="0.2">
      <c r="A143">
        <v>35</v>
      </c>
      <c r="B143">
        <f t="shared" si="2"/>
        <v>2050</v>
      </c>
      <c r="C143">
        <v>6005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158.94128213050601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1278.9152102544199</v>
      </c>
      <c r="Q143">
        <v>0</v>
      </c>
      <c r="R143">
        <v>0</v>
      </c>
      <c r="S143">
        <v>0</v>
      </c>
      <c r="T143">
        <v>0</v>
      </c>
      <c r="U143">
        <v>2259.4593131121901</v>
      </c>
      <c r="V143">
        <v>0</v>
      </c>
      <c r="W143">
        <v>2520.7121747418701</v>
      </c>
    </row>
    <row r="144" spans="1:23" x14ac:dyDescent="0.2">
      <c r="A144">
        <v>36</v>
      </c>
      <c r="B144">
        <f t="shared" si="2"/>
        <v>2051</v>
      </c>
      <c r="C144">
        <v>6005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208.56092830464499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1174.0511834295</v>
      </c>
      <c r="Q144">
        <v>0</v>
      </c>
      <c r="R144">
        <v>167.724013882279</v>
      </c>
      <c r="S144">
        <v>0</v>
      </c>
      <c r="T144">
        <v>0</v>
      </c>
      <c r="U144">
        <v>2233.9333353434799</v>
      </c>
      <c r="V144">
        <v>0</v>
      </c>
      <c r="W144">
        <v>3115.65473658165</v>
      </c>
    </row>
    <row r="145" spans="1:23" x14ac:dyDescent="0.2">
      <c r="A145">
        <v>37</v>
      </c>
      <c r="B145">
        <f t="shared" si="2"/>
        <v>2052</v>
      </c>
      <c r="C145">
        <v>6005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304.97492461385099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964.86102602539904</v>
      </c>
      <c r="Q145">
        <v>0</v>
      </c>
      <c r="R145">
        <v>189.418824752809</v>
      </c>
      <c r="S145">
        <v>0</v>
      </c>
      <c r="T145">
        <v>0</v>
      </c>
      <c r="U145">
        <v>3310.4209784283098</v>
      </c>
      <c r="V145">
        <v>0</v>
      </c>
      <c r="W145">
        <v>3042.9460593102599</v>
      </c>
    </row>
    <row r="146" spans="1:23" x14ac:dyDescent="0.2">
      <c r="A146">
        <v>38</v>
      </c>
      <c r="B146">
        <f t="shared" si="2"/>
        <v>2053</v>
      </c>
      <c r="C146">
        <v>6005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188.89721001668599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827.31481022743901</v>
      </c>
      <c r="Q146">
        <v>0</v>
      </c>
      <c r="R146">
        <v>347.97624532057</v>
      </c>
      <c r="S146">
        <v>0</v>
      </c>
      <c r="T146">
        <v>0</v>
      </c>
      <c r="U146">
        <v>3412.9920117226302</v>
      </c>
      <c r="V146">
        <v>0</v>
      </c>
      <c r="W146">
        <v>9588.9603213874507</v>
      </c>
    </row>
    <row r="147" spans="1:23" x14ac:dyDescent="0.2">
      <c r="A147">
        <v>39</v>
      </c>
      <c r="B147">
        <f t="shared" si="2"/>
        <v>2054</v>
      </c>
      <c r="C147">
        <v>6005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196.85094021872899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809.76037455359403</v>
      </c>
      <c r="Q147">
        <v>0</v>
      </c>
      <c r="R147">
        <v>0</v>
      </c>
      <c r="S147">
        <v>0</v>
      </c>
      <c r="T147">
        <v>0</v>
      </c>
      <c r="U147">
        <v>4480.7150954624703</v>
      </c>
      <c r="V147">
        <v>0</v>
      </c>
      <c r="W147">
        <v>0</v>
      </c>
    </row>
    <row r="148" spans="1:23" x14ac:dyDescent="0.2">
      <c r="A148">
        <v>40</v>
      </c>
      <c r="B148">
        <f t="shared" si="2"/>
        <v>2055</v>
      </c>
      <c r="C148">
        <v>6005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204.70384074818099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778.45060549603102</v>
      </c>
      <c r="Q148">
        <v>0</v>
      </c>
      <c r="R148">
        <v>0</v>
      </c>
      <c r="S148">
        <v>0</v>
      </c>
      <c r="T148">
        <v>0</v>
      </c>
      <c r="U148">
        <v>4016.9327498858001</v>
      </c>
      <c r="V148">
        <v>0</v>
      </c>
      <c r="W148">
        <v>3678.7229683793898</v>
      </c>
    </row>
    <row r="149" spans="1:23" x14ac:dyDescent="0.2">
      <c r="A149">
        <v>41</v>
      </c>
      <c r="B149">
        <f t="shared" si="2"/>
        <v>2056</v>
      </c>
      <c r="C149">
        <v>6005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212.549811841696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1100.8114676949599</v>
      </c>
      <c r="Q149">
        <v>0</v>
      </c>
      <c r="R149">
        <v>0</v>
      </c>
      <c r="S149">
        <v>0</v>
      </c>
      <c r="T149">
        <v>0</v>
      </c>
      <c r="U149">
        <v>5775.3088012684002</v>
      </c>
      <c r="V149">
        <v>0</v>
      </c>
      <c r="W149">
        <v>6.9698943224517498</v>
      </c>
    </row>
    <row r="150" spans="1:23" x14ac:dyDescent="0.2">
      <c r="A150">
        <v>42</v>
      </c>
      <c r="B150">
        <f t="shared" si="2"/>
        <v>2057</v>
      </c>
      <c r="C150">
        <v>6005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221.59982307403499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1390.0867998179299</v>
      </c>
      <c r="Q150">
        <v>0</v>
      </c>
      <c r="R150">
        <v>0</v>
      </c>
      <c r="S150">
        <v>0</v>
      </c>
      <c r="T150">
        <v>0</v>
      </c>
      <c r="U150">
        <v>3862.70948044324</v>
      </c>
      <c r="V150">
        <v>0</v>
      </c>
      <c r="W150">
        <v>79.180457955519699</v>
      </c>
    </row>
    <row r="151" spans="1:23" x14ac:dyDescent="0.2">
      <c r="A151">
        <v>43</v>
      </c>
      <c r="B151">
        <f t="shared" si="2"/>
        <v>2058</v>
      </c>
      <c r="C151">
        <v>6005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221.593866637921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2010.8489058221601</v>
      </c>
      <c r="Q151">
        <v>0</v>
      </c>
      <c r="R151">
        <v>0</v>
      </c>
      <c r="S151">
        <v>0</v>
      </c>
      <c r="T151">
        <v>0</v>
      </c>
      <c r="U151">
        <v>6418.8831594217199</v>
      </c>
      <c r="V151">
        <v>0</v>
      </c>
      <c r="W151">
        <v>516.42672008025795</v>
      </c>
    </row>
    <row r="152" spans="1:23" x14ac:dyDescent="0.2">
      <c r="A152">
        <v>44</v>
      </c>
      <c r="B152">
        <f t="shared" si="2"/>
        <v>2059</v>
      </c>
      <c r="C152">
        <v>6005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1216.77270715692</v>
      </c>
      <c r="Q152">
        <v>0</v>
      </c>
      <c r="R152">
        <v>0</v>
      </c>
      <c r="S152">
        <v>0</v>
      </c>
      <c r="T152">
        <v>0</v>
      </c>
      <c r="U152">
        <v>5447.60651884237</v>
      </c>
      <c r="V152">
        <v>0</v>
      </c>
      <c r="W152">
        <v>0</v>
      </c>
    </row>
    <row r="153" spans="1:23" x14ac:dyDescent="0.2">
      <c r="A153">
        <v>45</v>
      </c>
      <c r="B153">
        <f t="shared" si="2"/>
        <v>2060</v>
      </c>
      <c r="C153">
        <v>6005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5767.3618818656896</v>
      </c>
      <c r="Q153">
        <v>0</v>
      </c>
      <c r="R153">
        <v>0</v>
      </c>
      <c r="S153">
        <v>0</v>
      </c>
      <c r="T153">
        <v>0</v>
      </c>
      <c r="U153">
        <v>2557.4693186875402</v>
      </c>
      <c r="V153">
        <v>0</v>
      </c>
      <c r="W153">
        <v>0</v>
      </c>
    </row>
    <row r="154" spans="1:23" hidden="1" x14ac:dyDescent="0.2">
      <c r="A154">
        <v>8</v>
      </c>
      <c r="B154">
        <f t="shared" si="2"/>
        <v>2023</v>
      </c>
      <c r="C154">
        <v>6006</v>
      </c>
      <c r="D154" s="3">
        <v>0</v>
      </c>
      <c r="E154" s="3">
        <v>0</v>
      </c>
      <c r="F154" s="3">
        <v>0</v>
      </c>
      <c r="G154" s="3">
        <v>0</v>
      </c>
      <c r="H154" s="3">
        <v>0</v>
      </c>
      <c r="I154" s="3">
        <v>0</v>
      </c>
      <c r="J154" s="3">
        <v>5.5324457240216098E-2</v>
      </c>
      <c r="K154" s="3">
        <v>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>
        <v>51.370288694422797</v>
      </c>
      <c r="W154" s="3">
        <v>0</v>
      </c>
    </row>
    <row r="155" spans="1:23" hidden="1" x14ac:dyDescent="0.2">
      <c r="A155">
        <v>9</v>
      </c>
      <c r="B155">
        <f t="shared" si="2"/>
        <v>2024</v>
      </c>
      <c r="C155">
        <v>6006</v>
      </c>
      <c r="D155" s="3">
        <v>0</v>
      </c>
      <c r="E155" s="3">
        <v>0</v>
      </c>
      <c r="F155" s="3">
        <v>0</v>
      </c>
      <c r="G155" s="3">
        <v>0</v>
      </c>
      <c r="H155" s="3">
        <v>0</v>
      </c>
      <c r="I155" s="3">
        <v>0</v>
      </c>
      <c r="J155" s="3">
        <v>4.8126612443268303E-2</v>
      </c>
      <c r="K155" s="3">
        <v>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0</v>
      </c>
      <c r="T155" s="3">
        <v>0</v>
      </c>
      <c r="U155" s="3">
        <v>800.34303288806302</v>
      </c>
      <c r="V155" s="3">
        <v>40.454679441768398</v>
      </c>
      <c r="W155" s="3">
        <v>0</v>
      </c>
    </row>
    <row r="156" spans="1:23" hidden="1" x14ac:dyDescent="0.2">
      <c r="A156">
        <v>10</v>
      </c>
      <c r="B156">
        <f t="shared" si="2"/>
        <v>2025</v>
      </c>
      <c r="C156">
        <v>6006</v>
      </c>
      <c r="D156" s="3">
        <v>0</v>
      </c>
      <c r="E156" s="3">
        <v>0</v>
      </c>
      <c r="F156" s="3">
        <v>0</v>
      </c>
      <c r="G156" s="3">
        <v>0</v>
      </c>
      <c r="H156" s="3">
        <v>0</v>
      </c>
      <c r="I156" s="3">
        <v>0</v>
      </c>
      <c r="J156" s="3">
        <v>4.0714583751857103E-2</v>
      </c>
      <c r="K156" s="3">
        <v>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0</v>
      </c>
      <c r="T156" s="3">
        <v>0</v>
      </c>
      <c r="U156" s="3">
        <v>62.972690948526399</v>
      </c>
      <c r="V156" s="3">
        <v>27.9242179377258</v>
      </c>
      <c r="W156" s="3">
        <v>0</v>
      </c>
    </row>
    <row r="157" spans="1:23" hidden="1" x14ac:dyDescent="0.2">
      <c r="A157">
        <v>11</v>
      </c>
      <c r="B157">
        <f t="shared" si="2"/>
        <v>2026</v>
      </c>
      <c r="C157">
        <v>6006</v>
      </c>
      <c r="D157" s="3">
        <v>0</v>
      </c>
      <c r="E157" s="3">
        <v>0</v>
      </c>
      <c r="F157" s="3">
        <v>0</v>
      </c>
      <c r="G157" s="3">
        <v>0</v>
      </c>
      <c r="H157" s="3">
        <v>0</v>
      </c>
      <c r="I157" s="3">
        <v>0</v>
      </c>
      <c r="J157" s="3">
        <v>20.031209876735801</v>
      </c>
      <c r="K157" s="3">
        <v>0</v>
      </c>
      <c r="L157" s="3">
        <v>0</v>
      </c>
      <c r="M157" s="3">
        <v>0</v>
      </c>
      <c r="N157" s="3">
        <v>0</v>
      </c>
      <c r="O157" s="3">
        <v>0</v>
      </c>
      <c r="P157" s="3">
        <v>274.926843951455</v>
      </c>
      <c r="Q157" s="3">
        <v>0</v>
      </c>
      <c r="R157" s="3">
        <v>0</v>
      </c>
      <c r="S157" s="3">
        <v>0</v>
      </c>
      <c r="T157" s="3">
        <v>0</v>
      </c>
      <c r="U157" s="3">
        <v>82.935676867257698</v>
      </c>
      <c r="V157" s="3">
        <v>0</v>
      </c>
      <c r="W157" s="3">
        <v>359.98953845291197</v>
      </c>
    </row>
    <row r="158" spans="1:23" hidden="1" x14ac:dyDescent="0.2">
      <c r="A158">
        <v>12</v>
      </c>
      <c r="B158">
        <f t="shared" si="2"/>
        <v>2027</v>
      </c>
      <c r="C158">
        <v>6006</v>
      </c>
      <c r="D158" s="3">
        <v>0</v>
      </c>
      <c r="E158" s="3">
        <v>0</v>
      </c>
      <c r="F158" s="3">
        <v>0</v>
      </c>
      <c r="G158" s="3">
        <v>0</v>
      </c>
      <c r="H158" s="3">
        <v>0</v>
      </c>
      <c r="I158" s="3">
        <v>0</v>
      </c>
      <c r="J158" s="3">
        <v>22.0500808841166</v>
      </c>
      <c r="K158" s="3">
        <v>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</row>
    <row r="159" spans="1:23" hidden="1" x14ac:dyDescent="0.2">
      <c r="A159">
        <v>13</v>
      </c>
      <c r="B159">
        <f t="shared" si="2"/>
        <v>2028</v>
      </c>
      <c r="C159">
        <v>6006</v>
      </c>
      <c r="D159" s="3">
        <v>0</v>
      </c>
      <c r="E159" s="3">
        <v>0</v>
      </c>
      <c r="F159" s="3">
        <v>0</v>
      </c>
      <c r="G159" s="3">
        <v>0</v>
      </c>
      <c r="H159" s="3">
        <v>0</v>
      </c>
      <c r="I159" s="3">
        <v>0</v>
      </c>
      <c r="J159" s="3">
        <v>24.421406944735001</v>
      </c>
      <c r="K159" s="3">
        <v>0</v>
      </c>
      <c r="L159" s="3">
        <v>0</v>
      </c>
      <c r="M159" s="3">
        <v>0</v>
      </c>
      <c r="N159" s="3">
        <v>1822.3253631191401</v>
      </c>
      <c r="O159" s="3">
        <v>0</v>
      </c>
      <c r="P159" s="3">
        <v>1482.6855194710799</v>
      </c>
      <c r="Q159" s="3">
        <v>0</v>
      </c>
      <c r="R159" s="3">
        <v>0</v>
      </c>
      <c r="S159" s="3">
        <v>0</v>
      </c>
      <c r="T159" s="3">
        <v>0</v>
      </c>
      <c r="U159" s="3">
        <v>382.97139598700102</v>
      </c>
      <c r="V159" s="3">
        <v>0</v>
      </c>
      <c r="W159" s="3">
        <v>475.656012237563</v>
      </c>
    </row>
    <row r="160" spans="1:23" hidden="1" x14ac:dyDescent="0.2">
      <c r="A160">
        <v>14</v>
      </c>
      <c r="B160">
        <f t="shared" si="2"/>
        <v>2029</v>
      </c>
      <c r="C160">
        <v>6006</v>
      </c>
      <c r="D160" s="3">
        <v>0</v>
      </c>
      <c r="E160" s="3">
        <v>0</v>
      </c>
      <c r="F160" s="3">
        <v>0</v>
      </c>
      <c r="G160" s="3">
        <v>0</v>
      </c>
      <c r="H160" s="3">
        <v>0</v>
      </c>
      <c r="I160" s="3">
        <v>0</v>
      </c>
      <c r="J160" s="3">
        <v>27.097835671500199</v>
      </c>
      <c r="K160" s="3">
        <v>0</v>
      </c>
      <c r="L160" s="3">
        <v>0</v>
      </c>
      <c r="M160" s="3">
        <v>0</v>
      </c>
      <c r="N160" s="3">
        <v>1191.42603262792</v>
      </c>
      <c r="O160" s="3">
        <v>0</v>
      </c>
      <c r="P160" s="3">
        <v>11.3631853608195</v>
      </c>
      <c r="Q160" s="3">
        <v>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46.109209642600099</v>
      </c>
    </row>
    <row r="161" spans="1:23" hidden="1" x14ac:dyDescent="0.2">
      <c r="A161">
        <v>15</v>
      </c>
      <c r="B161">
        <f t="shared" si="2"/>
        <v>2030</v>
      </c>
      <c r="C161">
        <v>6006</v>
      </c>
      <c r="D161" s="3">
        <v>0</v>
      </c>
      <c r="E161" s="3">
        <v>0</v>
      </c>
      <c r="F161" s="3">
        <v>0</v>
      </c>
      <c r="G161" s="3">
        <v>0</v>
      </c>
      <c r="H161" s="3">
        <v>0</v>
      </c>
      <c r="I161" s="3">
        <v>0</v>
      </c>
      <c r="J161" s="3">
        <v>30.065703886083</v>
      </c>
      <c r="K161" s="3">
        <v>0</v>
      </c>
      <c r="L161" s="3">
        <v>0</v>
      </c>
      <c r="M161" s="3">
        <v>0</v>
      </c>
      <c r="N161" s="3">
        <v>219.811438492506</v>
      </c>
      <c r="O161" s="3">
        <v>0</v>
      </c>
      <c r="P161" s="3">
        <v>13.2635330288972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130.52152188587101</v>
      </c>
    </row>
    <row r="162" spans="1:23" hidden="1" x14ac:dyDescent="0.2">
      <c r="A162">
        <v>16</v>
      </c>
      <c r="B162">
        <f t="shared" si="2"/>
        <v>2031</v>
      </c>
      <c r="C162">
        <v>6006</v>
      </c>
      <c r="D162" s="3">
        <v>0</v>
      </c>
      <c r="E162" s="3">
        <v>0</v>
      </c>
      <c r="F162" s="3">
        <v>0</v>
      </c>
      <c r="G162" s="3">
        <v>0</v>
      </c>
      <c r="H162" s="3">
        <v>0</v>
      </c>
      <c r="I162" s="3">
        <v>0</v>
      </c>
      <c r="J162" s="3">
        <v>33.198146889268997</v>
      </c>
      <c r="K162" s="3">
        <v>0</v>
      </c>
      <c r="L162" s="3">
        <v>0</v>
      </c>
      <c r="M162" s="3">
        <v>0</v>
      </c>
      <c r="N162" s="3">
        <v>233.66420983024199</v>
      </c>
      <c r="O162" s="3">
        <v>0</v>
      </c>
      <c r="P162" s="3">
        <v>67.664988344915699</v>
      </c>
      <c r="Q162" s="3">
        <v>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137.72647139706899</v>
      </c>
    </row>
    <row r="163" spans="1:23" hidden="1" x14ac:dyDescent="0.2">
      <c r="A163">
        <v>17</v>
      </c>
      <c r="B163">
        <f t="shared" si="2"/>
        <v>2032</v>
      </c>
      <c r="C163">
        <v>6006</v>
      </c>
      <c r="D163" s="3">
        <v>0</v>
      </c>
      <c r="E163" s="3">
        <v>0</v>
      </c>
      <c r="F163" s="3">
        <v>0</v>
      </c>
      <c r="G163" s="3">
        <v>0</v>
      </c>
      <c r="H163" s="3">
        <v>0</v>
      </c>
      <c r="I163" s="3">
        <v>0</v>
      </c>
      <c r="J163" s="3">
        <v>36.547058236656497</v>
      </c>
      <c r="K163" s="3">
        <v>0</v>
      </c>
      <c r="L163" s="3">
        <v>0</v>
      </c>
      <c r="M163" s="3">
        <v>0</v>
      </c>
      <c r="N163" s="3">
        <v>962.68750420501999</v>
      </c>
      <c r="O163" s="3">
        <v>0</v>
      </c>
      <c r="P163" s="3">
        <v>14.918538918478699</v>
      </c>
      <c r="Q163" s="3">
        <v>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86.300920716511996</v>
      </c>
    </row>
    <row r="164" spans="1:23" hidden="1" x14ac:dyDescent="0.2">
      <c r="A164">
        <v>18</v>
      </c>
      <c r="B164">
        <f t="shared" si="2"/>
        <v>2033</v>
      </c>
      <c r="C164">
        <v>6006</v>
      </c>
      <c r="D164" s="3">
        <v>0</v>
      </c>
      <c r="E164" s="3">
        <v>0</v>
      </c>
      <c r="F164" s="3">
        <v>0</v>
      </c>
      <c r="G164" s="3">
        <v>0</v>
      </c>
      <c r="H164" s="3">
        <v>0</v>
      </c>
      <c r="I164" s="3">
        <v>0</v>
      </c>
      <c r="J164" s="3">
        <v>40.052673420966002</v>
      </c>
      <c r="K164" s="3">
        <v>0</v>
      </c>
      <c r="L164" s="3">
        <v>0</v>
      </c>
      <c r="M164" s="3">
        <v>0</v>
      </c>
      <c r="N164" s="3">
        <v>1881.8431074964601</v>
      </c>
      <c r="O164" s="3">
        <v>0</v>
      </c>
      <c r="P164" s="3">
        <v>15.802692873353999</v>
      </c>
      <c r="Q164" s="3">
        <v>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188.72436693696099</v>
      </c>
    </row>
    <row r="165" spans="1:23" hidden="1" x14ac:dyDescent="0.2">
      <c r="A165">
        <v>19</v>
      </c>
      <c r="B165">
        <f t="shared" si="2"/>
        <v>2034</v>
      </c>
      <c r="C165">
        <v>6006</v>
      </c>
      <c r="D165" s="3">
        <v>0</v>
      </c>
      <c r="E165" s="3">
        <v>0</v>
      </c>
      <c r="F165" s="3">
        <v>0</v>
      </c>
      <c r="G165" s="3">
        <v>0</v>
      </c>
      <c r="H165" s="3">
        <v>0</v>
      </c>
      <c r="I165" s="3">
        <v>0</v>
      </c>
      <c r="J165" s="3">
        <v>43.694248607513899</v>
      </c>
      <c r="K165" s="3">
        <v>0</v>
      </c>
      <c r="L165" s="3">
        <v>0</v>
      </c>
      <c r="M165" s="3">
        <v>0</v>
      </c>
      <c r="N165" s="3">
        <v>300.85682081110599</v>
      </c>
      <c r="O165" s="3">
        <v>0</v>
      </c>
      <c r="P165" s="3">
        <v>16.483513355361399</v>
      </c>
      <c r="Q165" s="3">
        <v>0</v>
      </c>
      <c r="R165" s="3">
        <v>0</v>
      </c>
      <c r="S165" s="3">
        <v>0</v>
      </c>
      <c r="T165" s="3">
        <v>0</v>
      </c>
      <c r="U165" s="3">
        <v>74.838434746804694</v>
      </c>
      <c r="V165" s="3">
        <v>0</v>
      </c>
      <c r="W165" s="3">
        <v>108.508805253125</v>
      </c>
    </row>
    <row r="166" spans="1:23" hidden="1" x14ac:dyDescent="0.2">
      <c r="A166">
        <v>20</v>
      </c>
      <c r="B166">
        <f t="shared" si="2"/>
        <v>2035</v>
      </c>
      <c r="C166">
        <v>6006</v>
      </c>
      <c r="D166" s="3">
        <v>0</v>
      </c>
      <c r="E166" s="3">
        <v>0</v>
      </c>
      <c r="F166" s="3">
        <v>0</v>
      </c>
      <c r="G166" s="3">
        <v>0</v>
      </c>
      <c r="H166" s="3">
        <v>0</v>
      </c>
      <c r="I166" s="3">
        <v>0</v>
      </c>
      <c r="J166" s="3">
        <v>47.456567264785598</v>
      </c>
      <c r="K166" s="3">
        <v>0</v>
      </c>
      <c r="L166" s="3">
        <v>0</v>
      </c>
      <c r="M166" s="3">
        <v>0</v>
      </c>
      <c r="N166" s="3">
        <v>1200.3042643030799</v>
      </c>
      <c r="O166" s="3">
        <v>0</v>
      </c>
      <c r="P166" s="3">
        <v>17.222822921662701</v>
      </c>
      <c r="Q166" s="3">
        <v>0</v>
      </c>
      <c r="R166" s="3">
        <v>0</v>
      </c>
      <c r="S166" s="3">
        <v>0</v>
      </c>
      <c r="T166" s="3">
        <v>0</v>
      </c>
      <c r="U166" s="3">
        <v>834.88929690739701</v>
      </c>
      <c r="V166" s="3">
        <v>0</v>
      </c>
      <c r="W166" s="3">
        <v>3287.28516246143</v>
      </c>
    </row>
    <row r="167" spans="1:23" hidden="1" x14ac:dyDescent="0.2">
      <c r="A167">
        <v>21</v>
      </c>
      <c r="B167">
        <f t="shared" si="2"/>
        <v>2036</v>
      </c>
      <c r="C167">
        <v>6006</v>
      </c>
      <c r="D167" s="3">
        <v>0</v>
      </c>
      <c r="E167" s="3">
        <v>0</v>
      </c>
      <c r="F167" s="3">
        <v>0</v>
      </c>
      <c r="G167" s="3">
        <v>0</v>
      </c>
      <c r="H167" s="3">
        <v>0</v>
      </c>
      <c r="I167" s="3">
        <v>0</v>
      </c>
      <c r="J167" s="3">
        <v>51.218496890079003</v>
      </c>
      <c r="K167" s="3">
        <v>0</v>
      </c>
      <c r="L167" s="3">
        <v>0</v>
      </c>
      <c r="M167" s="3">
        <v>0</v>
      </c>
      <c r="N167" s="3">
        <v>336.006732085571</v>
      </c>
      <c r="O167" s="3">
        <v>0</v>
      </c>
      <c r="P167" s="3">
        <v>17.656794632284502</v>
      </c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84.404692480345204</v>
      </c>
    </row>
    <row r="168" spans="1:23" hidden="1" x14ac:dyDescent="0.2">
      <c r="A168">
        <v>22</v>
      </c>
      <c r="B168">
        <f t="shared" si="2"/>
        <v>2037</v>
      </c>
      <c r="C168">
        <v>6006</v>
      </c>
      <c r="D168" s="3">
        <v>0</v>
      </c>
      <c r="E168" s="3">
        <v>0</v>
      </c>
      <c r="F168" s="3">
        <v>0</v>
      </c>
      <c r="G168" s="3">
        <v>0</v>
      </c>
      <c r="H168" s="3">
        <v>0</v>
      </c>
      <c r="I168" s="3">
        <v>0</v>
      </c>
      <c r="J168" s="3">
        <v>55.9718418557067</v>
      </c>
      <c r="K168" s="3">
        <v>0</v>
      </c>
      <c r="L168" s="3">
        <v>0</v>
      </c>
      <c r="M168" s="3">
        <v>0</v>
      </c>
      <c r="N168" s="3">
        <v>358.232189811311</v>
      </c>
      <c r="O168" s="3">
        <v>0</v>
      </c>
      <c r="P168" s="3">
        <v>18.395129857409302</v>
      </c>
      <c r="Q168" s="3">
        <v>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89.215181745296704</v>
      </c>
    </row>
    <row r="169" spans="1:23" hidden="1" x14ac:dyDescent="0.2">
      <c r="A169">
        <v>23</v>
      </c>
      <c r="B169">
        <f t="shared" si="2"/>
        <v>2038</v>
      </c>
      <c r="C169">
        <v>6006</v>
      </c>
      <c r="D169" s="3">
        <v>0</v>
      </c>
      <c r="E169" s="3">
        <v>0</v>
      </c>
      <c r="F169" s="3">
        <v>0</v>
      </c>
      <c r="G169" s="3">
        <v>0</v>
      </c>
      <c r="H169" s="3">
        <v>0</v>
      </c>
      <c r="I169" s="3">
        <v>0</v>
      </c>
      <c r="J169" s="3">
        <v>60.027490208534402</v>
      </c>
      <c r="K169" s="3">
        <v>0</v>
      </c>
      <c r="L169" s="3">
        <v>0</v>
      </c>
      <c r="M169" s="3">
        <v>0</v>
      </c>
      <c r="N169" s="3">
        <v>380.44795904075602</v>
      </c>
      <c r="O169" s="3">
        <v>0</v>
      </c>
      <c r="P169" s="3">
        <v>19.0899555916914</v>
      </c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152.73239488117301</v>
      </c>
    </row>
    <row r="170" spans="1:23" hidden="1" x14ac:dyDescent="0.2">
      <c r="A170">
        <v>24</v>
      </c>
      <c r="B170">
        <f t="shared" si="2"/>
        <v>2039</v>
      </c>
      <c r="C170">
        <v>6006</v>
      </c>
      <c r="D170" s="3">
        <v>0</v>
      </c>
      <c r="E170" s="3">
        <v>0</v>
      </c>
      <c r="F170" s="3">
        <v>0</v>
      </c>
      <c r="G170" s="3">
        <v>0</v>
      </c>
      <c r="H170" s="3">
        <v>0</v>
      </c>
      <c r="I170" s="3">
        <v>0</v>
      </c>
      <c r="J170" s="3">
        <v>64.1472899768671</v>
      </c>
      <c r="K170" s="3">
        <v>0</v>
      </c>
      <c r="L170" s="3">
        <v>0</v>
      </c>
      <c r="M170" s="3">
        <v>0</v>
      </c>
      <c r="N170" s="3">
        <v>940.33792739232103</v>
      </c>
      <c r="O170" s="3">
        <v>0</v>
      </c>
      <c r="P170" s="3">
        <v>19.628944976605201</v>
      </c>
      <c r="Q170" s="3">
        <v>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107.403862647613</v>
      </c>
    </row>
    <row r="171" spans="1:23" hidden="1" x14ac:dyDescent="0.2">
      <c r="A171">
        <v>25</v>
      </c>
      <c r="B171">
        <f t="shared" si="2"/>
        <v>2040</v>
      </c>
      <c r="C171">
        <v>6006</v>
      </c>
      <c r="D171" s="3">
        <v>0</v>
      </c>
      <c r="E171" s="3">
        <v>0</v>
      </c>
      <c r="F171" s="3">
        <v>0</v>
      </c>
      <c r="G171" s="3">
        <v>0</v>
      </c>
      <c r="H171" s="3">
        <v>0</v>
      </c>
      <c r="I171" s="3">
        <v>0</v>
      </c>
      <c r="J171" s="3">
        <v>68.259194719005805</v>
      </c>
      <c r="K171" s="3">
        <v>0</v>
      </c>
      <c r="L171" s="3">
        <v>2209.4397808261001</v>
      </c>
      <c r="M171" s="3">
        <v>0</v>
      </c>
      <c r="N171" s="3">
        <v>19805.7962947817</v>
      </c>
      <c r="O171" s="3">
        <v>0</v>
      </c>
      <c r="P171" s="3">
        <v>19.904640776798001</v>
      </c>
      <c r="Q171" s="3">
        <v>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93.586432634274303</v>
      </c>
    </row>
    <row r="172" spans="1:23" hidden="1" x14ac:dyDescent="0.2">
      <c r="A172">
        <v>26</v>
      </c>
      <c r="B172">
        <f t="shared" si="2"/>
        <v>2041</v>
      </c>
      <c r="C172">
        <v>6006</v>
      </c>
      <c r="D172" s="3">
        <v>0</v>
      </c>
      <c r="E172" s="3">
        <v>0</v>
      </c>
      <c r="F172" s="3">
        <v>0</v>
      </c>
      <c r="G172" s="3">
        <v>0</v>
      </c>
      <c r="H172" s="3">
        <v>0</v>
      </c>
      <c r="I172" s="3">
        <v>0</v>
      </c>
      <c r="J172" s="3">
        <v>72.128623784893094</v>
      </c>
      <c r="K172" s="3">
        <v>0</v>
      </c>
      <c r="L172" s="3">
        <v>132.888389303076</v>
      </c>
      <c r="M172" s="3">
        <v>0</v>
      </c>
      <c r="N172" s="3">
        <v>1327.8681836492101</v>
      </c>
      <c r="O172" s="3">
        <v>0</v>
      </c>
      <c r="P172" s="3">
        <v>19.114570225084499</v>
      </c>
      <c r="Q172" s="3">
        <v>0</v>
      </c>
      <c r="R172" s="3">
        <v>0</v>
      </c>
      <c r="S172" s="3">
        <v>0</v>
      </c>
      <c r="T172" s="3">
        <v>2059.0796044387798</v>
      </c>
      <c r="U172" s="3">
        <v>3.3398799920306499</v>
      </c>
      <c r="V172" s="3">
        <v>0</v>
      </c>
      <c r="W172" s="3">
        <v>0</v>
      </c>
    </row>
    <row r="173" spans="1:23" hidden="1" x14ac:dyDescent="0.2">
      <c r="A173">
        <v>27</v>
      </c>
      <c r="B173">
        <f t="shared" si="2"/>
        <v>2042</v>
      </c>
      <c r="C173">
        <v>6006</v>
      </c>
      <c r="D173" s="3">
        <v>0</v>
      </c>
      <c r="E173" s="3">
        <v>0</v>
      </c>
      <c r="F173" s="3">
        <v>0</v>
      </c>
      <c r="G173" s="3">
        <v>0</v>
      </c>
      <c r="H173" s="3">
        <v>0</v>
      </c>
      <c r="I173" s="3">
        <v>0</v>
      </c>
      <c r="J173" s="3">
        <v>75.319141970119901</v>
      </c>
      <c r="K173" s="3">
        <v>0</v>
      </c>
      <c r="L173" s="3">
        <v>130.65428019266599</v>
      </c>
      <c r="M173" s="3">
        <v>0</v>
      </c>
      <c r="N173" s="3">
        <v>1026.8300377380799</v>
      </c>
      <c r="O173" s="3">
        <v>0</v>
      </c>
      <c r="P173" s="3">
        <v>18.36397989452</v>
      </c>
      <c r="Q173" s="3">
        <v>0</v>
      </c>
      <c r="R173" s="3">
        <v>0</v>
      </c>
      <c r="S173" s="3">
        <v>0</v>
      </c>
      <c r="T173" s="3">
        <v>117.826787688945</v>
      </c>
      <c r="U173" s="3">
        <v>86.347296720487407</v>
      </c>
      <c r="V173" s="3">
        <v>0</v>
      </c>
      <c r="W173" s="3">
        <v>0</v>
      </c>
    </row>
    <row r="174" spans="1:23" hidden="1" x14ac:dyDescent="0.2">
      <c r="A174">
        <v>28</v>
      </c>
      <c r="B174">
        <f t="shared" si="2"/>
        <v>2043</v>
      </c>
      <c r="C174">
        <v>6006</v>
      </c>
      <c r="D174" s="3">
        <v>0</v>
      </c>
      <c r="E174" s="3">
        <v>0</v>
      </c>
      <c r="F174" s="3">
        <v>0</v>
      </c>
      <c r="G174" s="3">
        <v>0</v>
      </c>
      <c r="H174" s="3">
        <v>0</v>
      </c>
      <c r="I174" s="3">
        <v>0</v>
      </c>
      <c r="J174" s="3">
        <v>79.198350752511999</v>
      </c>
      <c r="K174" s="3">
        <v>0</v>
      </c>
      <c r="L174" s="3">
        <v>126.507849822114</v>
      </c>
      <c r="M174" s="3">
        <v>0</v>
      </c>
      <c r="N174" s="3">
        <v>441.53897454160102</v>
      </c>
      <c r="O174" s="3">
        <v>0</v>
      </c>
      <c r="P174" s="3">
        <v>17.3750598083314</v>
      </c>
      <c r="Q174" s="3">
        <v>0</v>
      </c>
      <c r="R174" s="3">
        <v>0</v>
      </c>
      <c r="S174" s="3">
        <v>0</v>
      </c>
      <c r="T174" s="3">
        <v>114.087449259175</v>
      </c>
      <c r="U174" s="3">
        <v>38.468586496335199</v>
      </c>
      <c r="V174" s="3">
        <v>69.654047480813205</v>
      </c>
      <c r="W174" s="3">
        <v>0</v>
      </c>
    </row>
    <row r="175" spans="1:23" hidden="1" x14ac:dyDescent="0.2">
      <c r="A175">
        <v>29</v>
      </c>
      <c r="B175">
        <f t="shared" si="2"/>
        <v>2044</v>
      </c>
      <c r="C175">
        <v>6006</v>
      </c>
      <c r="D175" s="3">
        <v>0</v>
      </c>
      <c r="E175" s="3">
        <v>0</v>
      </c>
      <c r="F175" s="3">
        <v>0</v>
      </c>
      <c r="G175" s="3">
        <v>0</v>
      </c>
      <c r="H175" s="3">
        <v>0</v>
      </c>
      <c r="I175" s="3">
        <v>0</v>
      </c>
      <c r="J175" s="3">
        <v>83.064777584592505</v>
      </c>
      <c r="K175" s="3">
        <v>0</v>
      </c>
      <c r="L175" s="3">
        <v>8396.9503799274808</v>
      </c>
      <c r="M175" s="3">
        <v>0</v>
      </c>
      <c r="N175" s="3">
        <v>353.35008893938101</v>
      </c>
      <c r="O175" s="3">
        <v>0</v>
      </c>
      <c r="P175" s="3">
        <v>16.6389383496339</v>
      </c>
      <c r="Q175" s="3">
        <v>0</v>
      </c>
      <c r="R175" s="3">
        <v>0</v>
      </c>
      <c r="S175" s="3">
        <v>0</v>
      </c>
      <c r="T175" s="3">
        <v>361.47541788907199</v>
      </c>
      <c r="U175" s="3">
        <v>449.91354699898699</v>
      </c>
      <c r="V175" s="3">
        <v>392.53099128573501</v>
      </c>
      <c r="W175" s="3">
        <v>0</v>
      </c>
    </row>
    <row r="176" spans="1:23" hidden="1" x14ac:dyDescent="0.2">
      <c r="A176">
        <v>30</v>
      </c>
      <c r="B176">
        <f t="shared" si="2"/>
        <v>2045</v>
      </c>
      <c r="C176">
        <v>6006</v>
      </c>
      <c r="D176" s="3">
        <v>0</v>
      </c>
      <c r="E176" s="3">
        <v>0</v>
      </c>
      <c r="F176" s="3">
        <v>0</v>
      </c>
      <c r="G176" s="3">
        <v>0</v>
      </c>
      <c r="H176" s="3">
        <v>0</v>
      </c>
      <c r="I176" s="3">
        <v>0</v>
      </c>
      <c r="J176" s="3">
        <v>86.925409080612596</v>
      </c>
      <c r="K176" s="3">
        <v>0</v>
      </c>
      <c r="L176" s="3">
        <v>119.17938790909901</v>
      </c>
      <c r="M176" s="3">
        <v>0</v>
      </c>
      <c r="N176" s="3">
        <v>3263.0377075748602</v>
      </c>
      <c r="O176" s="3">
        <v>0</v>
      </c>
      <c r="P176" s="3">
        <v>15.6293644409332</v>
      </c>
      <c r="Q176" s="3">
        <v>0</v>
      </c>
      <c r="R176" s="3">
        <v>6778.7184922107499</v>
      </c>
      <c r="S176" s="3">
        <v>0</v>
      </c>
      <c r="T176" s="3">
        <v>1285.9642480277</v>
      </c>
      <c r="U176" s="3">
        <v>1816.6387305993301</v>
      </c>
      <c r="V176" s="3">
        <v>301.928091390058</v>
      </c>
      <c r="W176" s="3">
        <v>0</v>
      </c>
    </row>
    <row r="177" spans="1:23" hidden="1" x14ac:dyDescent="0.2">
      <c r="A177">
        <v>31</v>
      </c>
      <c r="B177">
        <f t="shared" si="2"/>
        <v>2046</v>
      </c>
      <c r="C177">
        <v>6006</v>
      </c>
      <c r="D177" s="3">
        <v>0</v>
      </c>
      <c r="E177" s="3">
        <v>0</v>
      </c>
      <c r="F177" s="3">
        <v>0</v>
      </c>
      <c r="G177" s="3">
        <v>0</v>
      </c>
      <c r="H177" s="3">
        <v>0</v>
      </c>
      <c r="I177" s="3">
        <v>0</v>
      </c>
      <c r="J177" s="3">
        <v>110.416569129083</v>
      </c>
      <c r="K177" s="3">
        <v>0</v>
      </c>
      <c r="L177" s="3">
        <v>112.26190760073</v>
      </c>
      <c r="M177" s="3">
        <v>0</v>
      </c>
      <c r="N177" s="3">
        <v>222.67006657010199</v>
      </c>
      <c r="O177" s="3">
        <v>0</v>
      </c>
      <c r="P177" s="3">
        <v>14.385940241465899</v>
      </c>
      <c r="Q177" s="3">
        <v>0</v>
      </c>
      <c r="R177" s="3">
        <v>0</v>
      </c>
      <c r="S177" s="3">
        <v>0</v>
      </c>
      <c r="T177" s="3">
        <v>1173.09550098406</v>
      </c>
      <c r="U177" s="3">
        <v>166.39768603876701</v>
      </c>
      <c r="V177" s="3">
        <v>428.668056435582</v>
      </c>
      <c r="W177" s="3">
        <v>139.82728755222701</v>
      </c>
    </row>
    <row r="178" spans="1:23" hidden="1" x14ac:dyDescent="0.2">
      <c r="A178">
        <v>32</v>
      </c>
      <c r="B178">
        <f t="shared" si="2"/>
        <v>2047</v>
      </c>
      <c r="C178">
        <v>6006</v>
      </c>
      <c r="D178" s="3">
        <v>0</v>
      </c>
      <c r="E178" s="3">
        <v>0</v>
      </c>
      <c r="F178" s="3">
        <v>0</v>
      </c>
      <c r="G178" s="3">
        <v>0</v>
      </c>
      <c r="H178" s="3">
        <v>0</v>
      </c>
      <c r="I178" s="3">
        <v>0</v>
      </c>
      <c r="J178" s="3">
        <v>116.12590330861499</v>
      </c>
      <c r="K178" s="3">
        <v>0</v>
      </c>
      <c r="L178" s="3">
        <v>105.627333299254</v>
      </c>
      <c r="M178" s="3">
        <v>0</v>
      </c>
      <c r="N178" s="3">
        <v>212.39335025426101</v>
      </c>
      <c r="O178" s="3">
        <v>0</v>
      </c>
      <c r="P178" s="3">
        <v>13.226587722387601</v>
      </c>
      <c r="Q178" s="3">
        <v>0</v>
      </c>
      <c r="R178" s="3">
        <v>0</v>
      </c>
      <c r="S178" s="3">
        <v>0</v>
      </c>
      <c r="T178" s="3">
        <v>1507.8558004485999</v>
      </c>
      <c r="U178" s="3">
        <v>923.80454454255698</v>
      </c>
      <c r="V178" s="3">
        <v>9.9876401018079193</v>
      </c>
      <c r="W178" s="3">
        <v>0</v>
      </c>
    </row>
    <row r="179" spans="1:23" hidden="1" x14ac:dyDescent="0.2">
      <c r="A179">
        <v>33</v>
      </c>
      <c r="B179">
        <f t="shared" si="2"/>
        <v>2048</v>
      </c>
      <c r="C179">
        <v>6006</v>
      </c>
      <c r="D179" s="3">
        <v>0</v>
      </c>
      <c r="E179" s="3">
        <v>0</v>
      </c>
      <c r="F179" s="3">
        <v>0</v>
      </c>
      <c r="G179" s="3">
        <v>0</v>
      </c>
      <c r="H179" s="3">
        <v>0</v>
      </c>
      <c r="I179" s="3">
        <v>0</v>
      </c>
      <c r="J179" s="3">
        <v>122.22504974177799</v>
      </c>
      <c r="K179" s="3">
        <v>0</v>
      </c>
      <c r="L179" s="3">
        <v>99.6780065004818</v>
      </c>
      <c r="M179" s="3">
        <v>0</v>
      </c>
      <c r="N179" s="3">
        <v>203.55393998196701</v>
      </c>
      <c r="O179" s="3">
        <v>0</v>
      </c>
      <c r="P179" s="3">
        <v>12.196536270966201</v>
      </c>
      <c r="Q179" s="3">
        <v>0</v>
      </c>
      <c r="R179" s="3">
        <v>0</v>
      </c>
      <c r="S179" s="3">
        <v>0</v>
      </c>
      <c r="T179" s="3">
        <v>304.96132018311698</v>
      </c>
      <c r="U179" s="3">
        <v>97.084791742402203</v>
      </c>
      <c r="V179" s="3">
        <v>1.60876597609852</v>
      </c>
      <c r="W179" s="3">
        <v>279.925329349734</v>
      </c>
    </row>
    <row r="180" spans="1:23" hidden="1" x14ac:dyDescent="0.2">
      <c r="A180">
        <v>34</v>
      </c>
      <c r="B180">
        <f t="shared" si="2"/>
        <v>2049</v>
      </c>
      <c r="C180">
        <v>6006</v>
      </c>
      <c r="D180" s="3">
        <v>0</v>
      </c>
      <c r="E180" s="3">
        <v>0</v>
      </c>
      <c r="F180" s="3">
        <v>0</v>
      </c>
      <c r="G180" s="3">
        <v>0</v>
      </c>
      <c r="H180" s="3">
        <v>0</v>
      </c>
      <c r="I180" s="3">
        <v>0</v>
      </c>
      <c r="J180" s="3">
        <v>128.711569895331</v>
      </c>
      <c r="K180" s="3">
        <v>0</v>
      </c>
      <c r="L180" s="3">
        <v>94.760309322743694</v>
      </c>
      <c r="M180" s="3">
        <v>0</v>
      </c>
      <c r="N180" s="3">
        <v>196.67619995269399</v>
      </c>
      <c r="O180" s="3">
        <v>0</v>
      </c>
      <c r="P180" s="3">
        <v>11.329984203376601</v>
      </c>
      <c r="Q180" s="3">
        <v>0</v>
      </c>
      <c r="R180" s="3">
        <v>0</v>
      </c>
      <c r="S180" s="3">
        <v>0</v>
      </c>
      <c r="T180" s="3">
        <v>1345.33859562568</v>
      </c>
      <c r="U180" s="3">
        <v>399.59261500633198</v>
      </c>
      <c r="V180" s="3">
        <v>0</v>
      </c>
      <c r="W180" s="3">
        <v>0</v>
      </c>
    </row>
    <row r="181" spans="1:23" hidden="1" x14ac:dyDescent="0.2">
      <c r="A181">
        <v>35</v>
      </c>
      <c r="B181">
        <f t="shared" si="2"/>
        <v>2050</v>
      </c>
      <c r="C181">
        <v>6006</v>
      </c>
      <c r="D181" s="3">
        <v>0</v>
      </c>
      <c r="E181" s="3">
        <v>0</v>
      </c>
      <c r="F181" s="3">
        <v>0</v>
      </c>
      <c r="G181" s="3">
        <v>0</v>
      </c>
      <c r="H181" s="3">
        <v>0</v>
      </c>
      <c r="I181" s="3">
        <v>0</v>
      </c>
      <c r="J181" s="3">
        <v>135.558742940619</v>
      </c>
      <c r="K181" s="3">
        <v>0</v>
      </c>
      <c r="L181" s="3">
        <v>90.233344465239099</v>
      </c>
      <c r="M181" s="3">
        <v>0</v>
      </c>
      <c r="N181" s="3">
        <v>191.179317791795</v>
      </c>
      <c r="O181" s="3">
        <v>0</v>
      </c>
      <c r="P181" s="3">
        <v>10.5423045011767</v>
      </c>
      <c r="Q181" s="3">
        <v>0</v>
      </c>
      <c r="R181" s="3">
        <v>0</v>
      </c>
      <c r="S181" s="3">
        <v>0</v>
      </c>
      <c r="T181" s="3">
        <v>154.194071156099</v>
      </c>
      <c r="U181" s="3">
        <v>68.410183997434203</v>
      </c>
      <c r="V181" s="3">
        <v>0</v>
      </c>
      <c r="W181" s="3">
        <v>50.469897471713701</v>
      </c>
    </row>
    <row r="182" spans="1:23" hidden="1" x14ac:dyDescent="0.2">
      <c r="A182">
        <v>36</v>
      </c>
      <c r="B182">
        <f t="shared" si="2"/>
        <v>2051</v>
      </c>
      <c r="C182">
        <v>6006</v>
      </c>
      <c r="D182" s="3">
        <v>0</v>
      </c>
      <c r="E182" s="3">
        <v>0</v>
      </c>
      <c r="F182" s="3">
        <v>0</v>
      </c>
      <c r="G182" s="3">
        <v>0</v>
      </c>
      <c r="H182" s="3">
        <v>0</v>
      </c>
      <c r="I182" s="3">
        <v>0</v>
      </c>
      <c r="J182" s="3">
        <v>139.64096218551899</v>
      </c>
      <c r="K182" s="3">
        <v>0</v>
      </c>
      <c r="L182" s="3">
        <v>96.337801835061299</v>
      </c>
      <c r="M182" s="3">
        <v>0</v>
      </c>
      <c r="N182" s="3">
        <v>198.81051007303699</v>
      </c>
      <c r="O182" s="3">
        <v>0</v>
      </c>
      <c r="P182" s="3">
        <v>11.255511451318201</v>
      </c>
      <c r="Q182" s="3">
        <v>0</v>
      </c>
      <c r="R182" s="3">
        <v>0</v>
      </c>
      <c r="S182" s="3">
        <v>0</v>
      </c>
      <c r="T182" s="3">
        <v>159.28325799712701</v>
      </c>
      <c r="U182" s="3">
        <v>51.102264500898698</v>
      </c>
      <c r="V182" s="3">
        <v>0</v>
      </c>
      <c r="W182" s="3">
        <v>74.493380293516196</v>
      </c>
    </row>
    <row r="183" spans="1:23" hidden="1" x14ac:dyDescent="0.2">
      <c r="A183">
        <v>37</v>
      </c>
      <c r="B183">
        <f t="shared" si="2"/>
        <v>2052</v>
      </c>
      <c r="C183">
        <v>6006</v>
      </c>
      <c r="D183" s="3">
        <v>0</v>
      </c>
      <c r="E183" s="3">
        <v>0</v>
      </c>
      <c r="F183" s="3">
        <v>0</v>
      </c>
      <c r="G183" s="3">
        <v>0</v>
      </c>
      <c r="H183" s="3">
        <v>0</v>
      </c>
      <c r="I183" s="3">
        <v>0</v>
      </c>
      <c r="J183" s="3">
        <v>146.32848944124001</v>
      </c>
      <c r="K183" s="3">
        <v>0</v>
      </c>
      <c r="L183" s="3">
        <v>84.370968925965002</v>
      </c>
      <c r="M183" s="3">
        <v>0</v>
      </c>
      <c r="N183" s="3">
        <v>187.464648868208</v>
      </c>
      <c r="O183" s="3">
        <v>0</v>
      </c>
      <c r="P183" s="3">
        <v>9.8573808911568399</v>
      </c>
      <c r="Q183" s="3">
        <v>0</v>
      </c>
      <c r="R183" s="3">
        <v>0</v>
      </c>
      <c r="S183" s="3">
        <v>0</v>
      </c>
      <c r="T183" s="3">
        <v>849.71488123569804</v>
      </c>
      <c r="U183" s="3">
        <v>1130.7304833307501</v>
      </c>
      <c r="V183" s="3">
        <v>0</v>
      </c>
      <c r="W183" s="3">
        <v>36.484554050078998</v>
      </c>
    </row>
    <row r="184" spans="1:23" hidden="1" x14ac:dyDescent="0.2">
      <c r="A184">
        <v>38</v>
      </c>
      <c r="B184">
        <f t="shared" si="2"/>
        <v>2053</v>
      </c>
      <c r="C184">
        <v>6006</v>
      </c>
      <c r="D184" s="3">
        <v>0</v>
      </c>
      <c r="E184" s="3">
        <v>0</v>
      </c>
      <c r="F184" s="3">
        <v>0</v>
      </c>
      <c r="G184" s="3">
        <v>0</v>
      </c>
      <c r="H184" s="3">
        <v>0</v>
      </c>
      <c r="I184" s="3">
        <v>0</v>
      </c>
      <c r="J184" s="3">
        <v>153.01252526605401</v>
      </c>
      <c r="K184" s="3">
        <v>0</v>
      </c>
      <c r="L184" s="3">
        <v>69.953923773739106</v>
      </c>
      <c r="M184" s="3">
        <v>0</v>
      </c>
      <c r="N184" s="3">
        <v>1997.4378030386299</v>
      </c>
      <c r="O184" s="3">
        <v>0</v>
      </c>
      <c r="P184" s="3">
        <v>8.1729827243516198</v>
      </c>
      <c r="Q184" s="3">
        <v>0</v>
      </c>
      <c r="R184" s="3">
        <v>0</v>
      </c>
      <c r="S184" s="3">
        <v>0</v>
      </c>
      <c r="T184" s="3">
        <v>0</v>
      </c>
      <c r="U184" s="3">
        <v>37.106969927357099</v>
      </c>
      <c r="V184" s="3">
        <v>0</v>
      </c>
      <c r="W184" s="3">
        <v>118.104682156176</v>
      </c>
    </row>
    <row r="185" spans="1:23" hidden="1" x14ac:dyDescent="0.2">
      <c r="A185">
        <v>39</v>
      </c>
      <c r="B185">
        <f t="shared" si="2"/>
        <v>2054</v>
      </c>
      <c r="C185">
        <v>6006</v>
      </c>
      <c r="D185" s="3">
        <v>0</v>
      </c>
      <c r="E185" s="3">
        <v>0</v>
      </c>
      <c r="F185" s="3">
        <v>0</v>
      </c>
      <c r="G185" s="3">
        <v>0</v>
      </c>
      <c r="H185" s="3">
        <v>0</v>
      </c>
      <c r="I185" s="3">
        <v>0</v>
      </c>
      <c r="J185" s="3">
        <v>159.82665350331001</v>
      </c>
      <c r="K185" s="3">
        <v>0</v>
      </c>
      <c r="L185" s="3">
        <v>58.394845624000801</v>
      </c>
      <c r="M185" s="3">
        <v>0</v>
      </c>
      <c r="N185" s="3">
        <v>1357.94534701762</v>
      </c>
      <c r="O185" s="3">
        <v>0</v>
      </c>
      <c r="P185" s="3">
        <v>6.8224917021065803</v>
      </c>
      <c r="Q185" s="3">
        <v>0</v>
      </c>
      <c r="R185" s="3">
        <v>0</v>
      </c>
      <c r="S185" s="3">
        <v>0</v>
      </c>
      <c r="T185" s="3">
        <v>0</v>
      </c>
      <c r="U185" s="3">
        <v>469.89358706310298</v>
      </c>
      <c r="V185" s="3">
        <v>0</v>
      </c>
      <c r="W185" s="3">
        <v>51.6173044587837</v>
      </c>
    </row>
    <row r="186" spans="1:23" hidden="1" x14ac:dyDescent="0.2">
      <c r="A186">
        <v>40</v>
      </c>
      <c r="B186">
        <f t="shared" si="2"/>
        <v>2055</v>
      </c>
      <c r="C186">
        <v>6006</v>
      </c>
      <c r="D186" s="3">
        <v>0</v>
      </c>
      <c r="E186" s="3">
        <v>0</v>
      </c>
      <c r="F186" s="3">
        <v>0</v>
      </c>
      <c r="G186" s="3">
        <v>0</v>
      </c>
      <c r="H186" s="3">
        <v>0</v>
      </c>
      <c r="I186" s="3">
        <v>0</v>
      </c>
      <c r="J186" s="3">
        <v>166.57605577633799</v>
      </c>
      <c r="K186" s="3">
        <v>0</v>
      </c>
      <c r="L186" s="3">
        <v>38.470219642614801</v>
      </c>
      <c r="M186" s="3">
        <v>0</v>
      </c>
      <c r="N186" s="3">
        <v>548.97798757416899</v>
      </c>
      <c r="O186" s="3">
        <v>0</v>
      </c>
      <c r="P186" s="3">
        <v>4.4946219394076401</v>
      </c>
      <c r="Q186" s="3">
        <v>0</v>
      </c>
      <c r="R186" s="3">
        <v>0</v>
      </c>
      <c r="S186" s="3">
        <v>0</v>
      </c>
      <c r="T186" s="3">
        <v>309.086631973056</v>
      </c>
      <c r="U186" s="3">
        <v>55.7487069372728</v>
      </c>
      <c r="V186" s="3">
        <v>0</v>
      </c>
      <c r="W186" s="3">
        <v>3347.0838942122</v>
      </c>
    </row>
    <row r="187" spans="1:23" hidden="1" x14ac:dyDescent="0.2">
      <c r="A187">
        <v>41</v>
      </c>
      <c r="B187">
        <f t="shared" si="2"/>
        <v>2056</v>
      </c>
      <c r="C187">
        <v>6006</v>
      </c>
      <c r="D187" s="3">
        <v>0</v>
      </c>
      <c r="E187" s="3">
        <v>0</v>
      </c>
      <c r="F187" s="3">
        <v>0</v>
      </c>
      <c r="G187" s="3">
        <v>0</v>
      </c>
      <c r="H187" s="3">
        <v>0</v>
      </c>
      <c r="I187" s="3">
        <v>0</v>
      </c>
      <c r="J187" s="3">
        <v>173.31931264410699</v>
      </c>
      <c r="K187" s="3">
        <v>0</v>
      </c>
      <c r="L187" s="3">
        <v>21.734313442846499</v>
      </c>
      <c r="M187" s="3">
        <v>0</v>
      </c>
      <c r="N187" s="3">
        <v>320.17046725297598</v>
      </c>
      <c r="O187" s="3">
        <v>0</v>
      </c>
      <c r="P187" s="3">
        <v>160.443309158387</v>
      </c>
      <c r="Q187" s="3">
        <v>0</v>
      </c>
      <c r="R187" s="3">
        <v>0</v>
      </c>
      <c r="S187" s="3">
        <v>0</v>
      </c>
      <c r="T187" s="3">
        <v>0</v>
      </c>
      <c r="U187" s="3">
        <v>59.162976728506699</v>
      </c>
      <c r="V187" s="3">
        <v>0</v>
      </c>
      <c r="W187" s="3">
        <v>0</v>
      </c>
    </row>
    <row r="188" spans="1:23" hidden="1" x14ac:dyDescent="0.2">
      <c r="A188">
        <v>42</v>
      </c>
      <c r="B188">
        <f t="shared" si="2"/>
        <v>2057</v>
      </c>
      <c r="C188">
        <v>6006</v>
      </c>
      <c r="D188" s="3">
        <v>0</v>
      </c>
      <c r="E188" s="3">
        <v>0</v>
      </c>
      <c r="F188" s="3">
        <v>0</v>
      </c>
      <c r="G188" s="3">
        <v>0</v>
      </c>
      <c r="H188" s="3">
        <v>0</v>
      </c>
      <c r="I188" s="3">
        <v>0</v>
      </c>
      <c r="J188" s="3">
        <v>181.17539337834299</v>
      </c>
      <c r="K188" s="3">
        <v>0</v>
      </c>
      <c r="L188" s="3">
        <v>6.12332914668605</v>
      </c>
      <c r="M188" s="3">
        <v>0</v>
      </c>
      <c r="N188" s="3">
        <v>1001.50106276985</v>
      </c>
      <c r="O188" s="3">
        <v>0</v>
      </c>
      <c r="P188" s="3">
        <v>0.71541181154112898</v>
      </c>
      <c r="Q188" s="3">
        <v>0</v>
      </c>
      <c r="R188" s="3">
        <v>0</v>
      </c>
      <c r="S188" s="3">
        <v>0</v>
      </c>
      <c r="T188" s="3">
        <v>0</v>
      </c>
      <c r="U188" s="3">
        <v>3.2481121607461101</v>
      </c>
      <c r="V188" s="3">
        <v>0</v>
      </c>
      <c r="W188" s="3">
        <v>0</v>
      </c>
    </row>
    <row r="189" spans="1:23" hidden="1" x14ac:dyDescent="0.2">
      <c r="A189">
        <v>43</v>
      </c>
      <c r="B189">
        <f t="shared" si="2"/>
        <v>2058</v>
      </c>
      <c r="C189">
        <v>6006</v>
      </c>
      <c r="D189" s="3">
        <v>0</v>
      </c>
      <c r="E189" s="3">
        <v>0</v>
      </c>
      <c r="F189" s="3">
        <v>0</v>
      </c>
      <c r="G189" s="3">
        <v>0</v>
      </c>
      <c r="H189" s="3">
        <v>0</v>
      </c>
      <c r="I189" s="3">
        <v>0</v>
      </c>
      <c r="J189" s="3">
        <v>188.35623254299099</v>
      </c>
      <c r="K189" s="3">
        <v>0</v>
      </c>
      <c r="L189" s="3">
        <v>0</v>
      </c>
      <c r="M189" s="3">
        <v>0</v>
      </c>
      <c r="N189" s="3">
        <v>1838.7129487633299</v>
      </c>
      <c r="O189" s="3">
        <v>0</v>
      </c>
      <c r="P189" s="3">
        <v>890.77114316014899</v>
      </c>
      <c r="Q189" s="3">
        <v>0</v>
      </c>
      <c r="R189" s="3">
        <v>0</v>
      </c>
      <c r="S189" s="3">
        <v>0</v>
      </c>
      <c r="T189" s="3">
        <v>0</v>
      </c>
      <c r="U189" s="3">
        <v>225.44615568289601</v>
      </c>
      <c r="V189" s="3">
        <v>0</v>
      </c>
      <c r="W189" s="3">
        <v>99.422646960180799</v>
      </c>
    </row>
    <row r="190" spans="1:23" hidden="1" x14ac:dyDescent="0.2">
      <c r="A190">
        <v>44</v>
      </c>
      <c r="B190">
        <f t="shared" si="2"/>
        <v>2059</v>
      </c>
      <c r="C190">
        <v>6006</v>
      </c>
      <c r="D190" s="3">
        <v>0</v>
      </c>
      <c r="E190" s="3">
        <v>0</v>
      </c>
      <c r="F190" s="3">
        <v>0</v>
      </c>
      <c r="G190" s="3">
        <v>0</v>
      </c>
      <c r="H190" s="3">
        <v>0</v>
      </c>
      <c r="I190" s="3">
        <v>0</v>
      </c>
      <c r="J190" s="3">
        <v>195.757601038074</v>
      </c>
      <c r="K190" s="3">
        <v>0</v>
      </c>
      <c r="L190" s="3">
        <v>0</v>
      </c>
      <c r="M190" s="3">
        <v>0</v>
      </c>
      <c r="N190" s="3">
        <v>218.11876016784899</v>
      </c>
      <c r="O190" s="3">
        <v>0</v>
      </c>
      <c r="P190" s="3">
        <v>4.23693995078487</v>
      </c>
      <c r="Q190" s="3">
        <v>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40.638143879848201</v>
      </c>
    </row>
    <row r="191" spans="1:23" hidden="1" x14ac:dyDescent="0.2">
      <c r="A191">
        <v>45</v>
      </c>
      <c r="B191">
        <f t="shared" si="2"/>
        <v>2060</v>
      </c>
      <c r="C191">
        <v>6006</v>
      </c>
      <c r="D191" s="3">
        <v>0</v>
      </c>
      <c r="E191" s="3">
        <v>0</v>
      </c>
      <c r="F191" s="3">
        <v>0</v>
      </c>
      <c r="G191" s="3">
        <v>0</v>
      </c>
      <c r="H191" s="3">
        <v>0</v>
      </c>
      <c r="I191" s="3">
        <v>0</v>
      </c>
      <c r="J191" s="3">
        <v>203.344005344577</v>
      </c>
      <c r="K191" s="3">
        <v>0</v>
      </c>
      <c r="L191" s="3">
        <v>0</v>
      </c>
      <c r="M191" s="3">
        <v>0</v>
      </c>
      <c r="N191" s="3">
        <v>1020.76767448995</v>
      </c>
      <c r="O191" s="3">
        <v>0</v>
      </c>
      <c r="P191" s="3">
        <v>4.9986492846494501</v>
      </c>
      <c r="Q191" s="3">
        <v>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29.277226587083501</v>
      </c>
    </row>
    <row r="193" spans="4:24" x14ac:dyDescent="0.2">
      <c r="D193" s="3">
        <f>+D85-D47</f>
        <v>0</v>
      </c>
      <c r="E193" s="3">
        <f t="shared" ref="E193:W194" si="3">+E85-E47</f>
        <v>0</v>
      </c>
      <c r="F193" s="3">
        <f t="shared" si="3"/>
        <v>0</v>
      </c>
      <c r="G193" s="3">
        <f t="shared" si="3"/>
        <v>0</v>
      </c>
      <c r="H193" s="3">
        <f t="shared" si="3"/>
        <v>0</v>
      </c>
      <c r="I193" s="3">
        <f t="shared" si="3"/>
        <v>0</v>
      </c>
      <c r="J193" s="3">
        <f t="shared" si="3"/>
        <v>29.423427376184819</v>
      </c>
      <c r="K193" s="3">
        <f t="shared" si="3"/>
        <v>0</v>
      </c>
      <c r="L193" s="3">
        <f t="shared" si="3"/>
        <v>0</v>
      </c>
      <c r="M193" s="3">
        <f t="shared" si="3"/>
        <v>0</v>
      </c>
      <c r="N193" s="3">
        <f t="shared" si="3"/>
        <v>-114.51750588837</v>
      </c>
      <c r="O193" s="3">
        <f t="shared" si="3"/>
        <v>1738.77860684097</v>
      </c>
      <c r="P193" s="3">
        <f t="shared" si="3"/>
        <v>206.80544198527869</v>
      </c>
      <c r="Q193" s="3">
        <f t="shared" si="3"/>
        <v>0</v>
      </c>
      <c r="R193" s="3">
        <f t="shared" si="3"/>
        <v>0</v>
      </c>
      <c r="S193" s="3">
        <f t="shared" si="3"/>
        <v>0</v>
      </c>
      <c r="T193" s="3">
        <f t="shared" si="3"/>
        <v>0</v>
      </c>
      <c r="U193" s="3">
        <f t="shared" si="3"/>
        <v>0</v>
      </c>
      <c r="V193" s="3">
        <f t="shared" si="3"/>
        <v>0</v>
      </c>
      <c r="W193" s="3">
        <f t="shared" si="3"/>
        <v>807.17531950579053</v>
      </c>
      <c r="X193" s="2" cm="1">
        <f t="array" ref="X193">+SUM(D193:W193*1000000)/1000000000</f>
        <v>2.6676652898198538</v>
      </c>
    </row>
    <row r="196" spans="4:24" x14ac:dyDescent="0.2">
      <c r="D196" s="3">
        <f>+D161-D47</f>
        <v>0</v>
      </c>
      <c r="E196" s="3">
        <f t="shared" ref="E196:W196" si="4">+E161-E47</f>
        <v>0</v>
      </c>
      <c r="F196" s="3">
        <f t="shared" si="4"/>
        <v>0</v>
      </c>
      <c r="G196" s="3">
        <f t="shared" si="4"/>
        <v>0</v>
      </c>
      <c r="H196" s="3">
        <f t="shared" si="4"/>
        <v>0</v>
      </c>
      <c r="I196" s="3">
        <f t="shared" si="4"/>
        <v>0</v>
      </c>
      <c r="J196" s="3">
        <f t="shared" si="4"/>
        <v>25.855090936323819</v>
      </c>
      <c r="K196" s="3">
        <f t="shared" si="4"/>
        <v>0</v>
      </c>
      <c r="L196" s="3">
        <f t="shared" si="4"/>
        <v>0</v>
      </c>
      <c r="M196" s="3">
        <f t="shared" si="4"/>
        <v>0</v>
      </c>
      <c r="N196" s="3">
        <f>+N161-N47</f>
        <v>105.293932604136</v>
      </c>
      <c r="O196" s="3">
        <f t="shared" si="4"/>
        <v>0</v>
      </c>
      <c r="P196" s="3">
        <f t="shared" si="4"/>
        <v>6.3559128159438902</v>
      </c>
      <c r="Q196" s="3">
        <f t="shared" si="4"/>
        <v>0</v>
      </c>
      <c r="R196" s="3">
        <f t="shared" si="4"/>
        <v>0</v>
      </c>
      <c r="S196" s="3">
        <f t="shared" si="4"/>
        <v>0</v>
      </c>
      <c r="T196" s="3">
        <f t="shared" si="4"/>
        <v>0</v>
      </c>
      <c r="U196" s="3">
        <f t="shared" si="4"/>
        <v>0</v>
      </c>
      <c r="V196" s="3">
        <f t="shared" si="4"/>
        <v>0</v>
      </c>
      <c r="W196" s="3">
        <f t="shared" si="4"/>
        <v>39.927473716951511</v>
      </c>
      <c r="X196" s="2" cm="1">
        <f t="array" ref="X196">+SUM(D196:W196*1000000)/1000000000</f>
        <v>0.17743241007335522</v>
      </c>
    </row>
  </sheetData>
  <autoFilter ref="A1:W191" xr:uid="{7746CBA7-FFB9-8E4A-B9D4-4910151A98E4}">
    <filterColumn colId="2">
      <filters>
        <filter val="6005"/>
      </filters>
    </filterColumn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5CAD1-4CD5-9C44-9870-68726761481F}">
  <dimension ref="A1:Z118"/>
  <sheetViews>
    <sheetView zoomScale="109" workbookViewId="0">
      <pane xSplit="1" ySplit="1" topLeftCell="B50" activePane="bottomRight" state="frozen"/>
      <selection pane="topRight" activeCell="B1" sqref="B1"/>
      <selection pane="bottomLeft" activeCell="A2" sqref="A2"/>
      <selection pane="bottomRight" activeCell="N19" sqref="N19"/>
    </sheetView>
  </sheetViews>
  <sheetFormatPr baseColWidth="10" defaultRowHeight="16" x14ac:dyDescent="0.2"/>
  <sheetData>
    <row r="1" spans="1:25" ht="119" x14ac:dyDescent="0.2">
      <c r="A1" s="1" t="s">
        <v>0</v>
      </c>
      <c r="B1" s="1"/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4" t="s">
        <v>12</v>
      </c>
      <c r="O1" s="4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</row>
    <row r="2" spans="1:25" x14ac:dyDescent="0.2">
      <c r="A2">
        <v>8</v>
      </c>
      <c r="B2">
        <v>2023</v>
      </c>
      <c r="C2">
        <v>6003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5.5324457240216098E-2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v>0</v>
      </c>
      <c r="U2" s="3">
        <v>0</v>
      </c>
      <c r="V2" s="3">
        <v>51.370288694422797</v>
      </c>
      <c r="W2" s="3">
        <v>0</v>
      </c>
      <c r="Y2" s="3">
        <f>+SUM(N2:O2)</f>
        <v>0</v>
      </c>
    </row>
    <row r="3" spans="1:25" x14ac:dyDescent="0.2">
      <c r="A3">
        <v>9</v>
      </c>
      <c r="B3">
        <v>2024</v>
      </c>
      <c r="C3">
        <v>6003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4.8126612443268303E-2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0</v>
      </c>
      <c r="R3" s="3">
        <v>0</v>
      </c>
      <c r="S3" s="3">
        <v>0</v>
      </c>
      <c r="T3" s="3">
        <v>0</v>
      </c>
      <c r="U3" s="3">
        <v>800.34301897329499</v>
      </c>
      <c r="V3" s="3">
        <v>40.454679441768398</v>
      </c>
      <c r="W3" s="3">
        <v>0</v>
      </c>
      <c r="Y3" s="3">
        <f t="shared" ref="Y3:Y66" si="0">+SUM(N3:O3)</f>
        <v>0</v>
      </c>
    </row>
    <row r="4" spans="1:25" x14ac:dyDescent="0.2">
      <c r="A4">
        <v>10</v>
      </c>
      <c r="B4">
        <v>2025</v>
      </c>
      <c r="C4">
        <v>6003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4.0714583751857103E-2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62.972679923567398</v>
      </c>
      <c r="V4" s="3">
        <v>27.9242179377258</v>
      </c>
      <c r="W4" s="3">
        <v>0</v>
      </c>
      <c r="Y4" s="3">
        <f t="shared" si="0"/>
        <v>0</v>
      </c>
    </row>
    <row r="5" spans="1:25" x14ac:dyDescent="0.2">
      <c r="A5">
        <v>11</v>
      </c>
      <c r="B5">
        <v>2026</v>
      </c>
      <c r="C5">
        <v>6003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3.6785028704112799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260.67209036166003</v>
      </c>
      <c r="Q5" s="3">
        <v>0</v>
      </c>
      <c r="R5" s="3">
        <v>0</v>
      </c>
      <c r="S5" s="3">
        <v>0</v>
      </c>
      <c r="T5" s="3">
        <v>0</v>
      </c>
      <c r="U5" s="3">
        <v>18.2162957503554</v>
      </c>
      <c r="V5" s="3">
        <v>0</v>
      </c>
      <c r="W5" s="3">
        <v>317.67366875536601</v>
      </c>
      <c r="Y5" s="3">
        <f t="shared" si="0"/>
        <v>0</v>
      </c>
    </row>
    <row r="6" spans="1:25" x14ac:dyDescent="0.2">
      <c r="A6">
        <v>12</v>
      </c>
      <c r="B6">
        <v>2027</v>
      </c>
      <c r="C6">
        <v>6003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3.7872847362028401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Y6" s="3">
        <f t="shared" si="0"/>
        <v>0</v>
      </c>
    </row>
    <row r="7" spans="1:25" x14ac:dyDescent="0.2">
      <c r="A7">
        <v>13</v>
      </c>
      <c r="B7">
        <v>2028</v>
      </c>
      <c r="C7">
        <v>6003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3.89474615269727</v>
      </c>
      <c r="K7" s="3">
        <v>0</v>
      </c>
      <c r="L7" s="3">
        <v>0</v>
      </c>
      <c r="M7" s="3">
        <v>0</v>
      </c>
      <c r="N7" s="3">
        <v>749.90590470828704</v>
      </c>
      <c r="O7" s="3">
        <v>0</v>
      </c>
      <c r="P7" s="3">
        <v>1476.1497881003099</v>
      </c>
      <c r="Q7" s="3">
        <v>0</v>
      </c>
      <c r="R7" s="3">
        <v>0</v>
      </c>
      <c r="S7" s="3">
        <v>0</v>
      </c>
      <c r="T7" s="3">
        <v>0</v>
      </c>
      <c r="U7" s="3">
        <v>213.36560174866901</v>
      </c>
      <c r="V7" s="3">
        <v>0</v>
      </c>
      <c r="W7" s="3">
        <v>519.44951804797097</v>
      </c>
      <c r="Y7" s="3">
        <f t="shared" si="0"/>
        <v>749.90590470828704</v>
      </c>
    </row>
    <row r="8" spans="1:25" x14ac:dyDescent="0.2">
      <c r="A8">
        <v>14</v>
      </c>
      <c r="B8">
        <v>2029</v>
      </c>
      <c r="C8">
        <v>6003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4.0358133656174999</v>
      </c>
      <c r="K8" s="3">
        <v>0</v>
      </c>
      <c r="L8" s="3">
        <v>0</v>
      </c>
      <c r="M8" s="3">
        <v>0</v>
      </c>
      <c r="N8" s="3">
        <v>545.57576004481496</v>
      </c>
      <c r="O8" s="3">
        <v>0</v>
      </c>
      <c r="P8" s="3">
        <v>5.1703912390231901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8.4952339913448505</v>
      </c>
      <c r="Y8" s="3">
        <f t="shared" si="0"/>
        <v>545.57576004481496</v>
      </c>
    </row>
    <row r="9" spans="1:25" x14ac:dyDescent="0.2">
      <c r="A9">
        <v>15</v>
      </c>
      <c r="B9">
        <v>2030</v>
      </c>
      <c r="C9">
        <v>6003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4.21061294975918</v>
      </c>
      <c r="K9" s="3">
        <v>0</v>
      </c>
      <c r="L9" s="3">
        <v>0</v>
      </c>
      <c r="M9" s="3">
        <v>0</v>
      </c>
      <c r="N9" s="3">
        <v>57.258752944192203</v>
      </c>
      <c r="O9" s="3">
        <v>0</v>
      </c>
      <c r="P9" s="3">
        <v>6.9076202129545203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90.594048168894403</v>
      </c>
      <c r="Y9" s="3">
        <f t="shared" si="0"/>
        <v>57.258752944192203</v>
      </c>
    </row>
    <row r="10" spans="1:25" x14ac:dyDescent="0.2">
      <c r="A10">
        <v>16</v>
      </c>
      <c r="B10">
        <v>2031</v>
      </c>
      <c r="C10">
        <v>6003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4.4140101331204296</v>
      </c>
      <c r="K10" s="3">
        <v>0</v>
      </c>
      <c r="L10" s="3">
        <v>0</v>
      </c>
      <c r="M10" s="3">
        <v>0</v>
      </c>
      <c r="N10" s="3">
        <v>66.867313560428499</v>
      </c>
      <c r="O10" s="3">
        <v>0</v>
      </c>
      <c r="P10" s="3">
        <v>61.769213403120098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98.884756080508694</v>
      </c>
      <c r="Y10" s="3">
        <f t="shared" si="0"/>
        <v>66.867313560428499</v>
      </c>
    </row>
    <row r="11" spans="1:25" x14ac:dyDescent="0.2">
      <c r="A11">
        <v>17</v>
      </c>
      <c r="B11">
        <v>2032</v>
      </c>
      <c r="C11">
        <v>6003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4.6640955288139203</v>
      </c>
      <c r="K11" s="3">
        <v>0</v>
      </c>
      <c r="L11" s="3">
        <v>0</v>
      </c>
      <c r="M11" s="3">
        <v>0</v>
      </c>
      <c r="N11" s="3">
        <v>433.58093959301698</v>
      </c>
      <c r="O11" s="3">
        <v>0</v>
      </c>
      <c r="P11" s="3">
        <v>9.41001014399124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48.4838079244008</v>
      </c>
      <c r="Y11" s="3">
        <f t="shared" si="0"/>
        <v>433.58093959301698</v>
      </c>
    </row>
    <row r="12" spans="1:25" x14ac:dyDescent="0.2">
      <c r="A12">
        <v>18</v>
      </c>
      <c r="B12">
        <v>2033</v>
      </c>
      <c r="C12">
        <v>6003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4.9563870219004498</v>
      </c>
      <c r="K12" s="3">
        <v>0</v>
      </c>
      <c r="L12" s="3">
        <v>0</v>
      </c>
      <c r="M12" s="3">
        <v>0</v>
      </c>
      <c r="N12" s="3">
        <v>897.72477441707804</v>
      </c>
      <c r="O12" s="3">
        <v>0</v>
      </c>
      <c r="P12" s="3">
        <v>10.933171739058301</v>
      </c>
      <c r="Q12" s="3">
        <v>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153.39303580400701</v>
      </c>
      <c r="Y12" s="3">
        <f t="shared" si="0"/>
        <v>897.72477441707804</v>
      </c>
    </row>
    <row r="13" spans="1:25" x14ac:dyDescent="0.2">
      <c r="A13">
        <v>19</v>
      </c>
      <c r="B13">
        <v>2034</v>
      </c>
      <c r="C13">
        <v>6003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5.2916977076858904</v>
      </c>
      <c r="K13" s="3">
        <v>0</v>
      </c>
      <c r="L13" s="3">
        <v>0</v>
      </c>
      <c r="M13" s="3">
        <v>0</v>
      </c>
      <c r="N13" s="3">
        <v>111.847639305282</v>
      </c>
      <c r="O13" s="3">
        <v>0</v>
      </c>
      <c r="P13" s="3">
        <v>12.250995600603501</v>
      </c>
      <c r="Q13" s="3">
        <v>0</v>
      </c>
      <c r="R13" s="3">
        <v>0</v>
      </c>
      <c r="S13" s="3">
        <v>0</v>
      </c>
      <c r="T13" s="3">
        <v>0</v>
      </c>
      <c r="U13" s="3">
        <v>55.621960869217901</v>
      </c>
      <c r="V13" s="3">
        <v>0</v>
      </c>
      <c r="W13" s="3">
        <v>85.063382944457402</v>
      </c>
      <c r="Y13" s="3">
        <f t="shared" si="0"/>
        <v>111.847639305282</v>
      </c>
    </row>
    <row r="14" spans="1:25" x14ac:dyDescent="0.2">
      <c r="A14">
        <v>20</v>
      </c>
      <c r="B14">
        <v>2035</v>
      </c>
      <c r="C14">
        <v>6003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5.6695425680616003</v>
      </c>
      <c r="K14" s="3">
        <v>0</v>
      </c>
      <c r="L14" s="3">
        <v>0</v>
      </c>
      <c r="M14" s="3">
        <v>0</v>
      </c>
      <c r="N14" s="3">
        <v>566.32337057520397</v>
      </c>
      <c r="O14" s="3">
        <v>0</v>
      </c>
      <c r="P14" s="3">
        <v>13.7057428110461</v>
      </c>
      <c r="Q14" s="3">
        <v>0</v>
      </c>
      <c r="R14" s="3">
        <v>0</v>
      </c>
      <c r="S14" s="3">
        <v>0</v>
      </c>
      <c r="T14" s="3">
        <v>0</v>
      </c>
      <c r="U14" s="3">
        <v>704.61233650439101</v>
      </c>
      <c r="V14" s="3">
        <v>0</v>
      </c>
      <c r="W14" s="3">
        <v>3320.3073189227598</v>
      </c>
      <c r="Y14" s="3">
        <f t="shared" si="0"/>
        <v>566.32337057520397</v>
      </c>
    </row>
    <row r="15" spans="1:25" x14ac:dyDescent="0.2">
      <c r="A15">
        <v>21</v>
      </c>
      <c r="B15">
        <v>2036</v>
      </c>
      <c r="C15">
        <v>6003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6.07333455595509</v>
      </c>
      <c r="K15" s="3">
        <v>0</v>
      </c>
      <c r="L15" s="3">
        <v>0</v>
      </c>
      <c r="M15" s="3">
        <v>0</v>
      </c>
      <c r="N15" s="3">
        <v>141.782345153726</v>
      </c>
      <c r="O15" s="3">
        <v>0</v>
      </c>
      <c r="P15" s="3">
        <v>14.894790976843799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58.549611520083502</v>
      </c>
      <c r="Y15" s="3">
        <f t="shared" si="0"/>
        <v>141.782345153726</v>
      </c>
    </row>
    <row r="16" spans="1:25" x14ac:dyDescent="0.2">
      <c r="A16">
        <v>22</v>
      </c>
      <c r="B16">
        <v>2037</v>
      </c>
      <c r="C16">
        <v>6003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7.3395419313341899</v>
      </c>
      <c r="K16" s="3">
        <v>0</v>
      </c>
      <c r="L16" s="3">
        <v>0</v>
      </c>
      <c r="M16" s="3">
        <v>0</v>
      </c>
      <c r="N16" s="3">
        <v>160.420976886983</v>
      </c>
      <c r="O16" s="3">
        <v>0</v>
      </c>
      <c r="P16" s="3">
        <v>16.4683650685472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67.453425551912702</v>
      </c>
      <c r="Y16" s="3">
        <f t="shared" si="0"/>
        <v>160.420976886983</v>
      </c>
    </row>
    <row r="17" spans="1:25" x14ac:dyDescent="0.2">
      <c r="A17">
        <v>23</v>
      </c>
      <c r="B17">
        <v>2038</v>
      </c>
      <c r="C17">
        <v>6003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7.8437172572978104</v>
      </c>
      <c r="K17" s="3">
        <v>0</v>
      </c>
      <c r="L17" s="3">
        <v>0</v>
      </c>
      <c r="M17" s="3">
        <v>0</v>
      </c>
      <c r="N17" s="3">
        <v>179.897766129866</v>
      </c>
      <c r="O17" s="3">
        <v>0</v>
      </c>
      <c r="P17" s="3">
        <v>18.0463699319053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135.405341009263</v>
      </c>
      <c r="Y17" s="3">
        <f t="shared" si="0"/>
        <v>179.897766129866</v>
      </c>
    </row>
    <row r="18" spans="1:25" x14ac:dyDescent="0.2">
      <c r="A18">
        <v>24</v>
      </c>
      <c r="B18">
        <v>2039</v>
      </c>
      <c r="C18">
        <v>6003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8.3637010316113791</v>
      </c>
      <c r="K18" s="3">
        <v>0</v>
      </c>
      <c r="L18" s="3">
        <v>0</v>
      </c>
      <c r="M18" s="3">
        <v>0</v>
      </c>
      <c r="N18" s="3">
        <v>469.12789850269797</v>
      </c>
      <c r="O18" s="3">
        <v>0</v>
      </c>
      <c r="P18" s="3">
        <v>19.519099473589101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94.845581315429996</v>
      </c>
      <c r="Y18" s="3">
        <f t="shared" si="0"/>
        <v>469.12789850269797</v>
      </c>
    </row>
    <row r="19" spans="1:25" x14ac:dyDescent="0.2">
      <c r="A19">
        <v>25</v>
      </c>
      <c r="B19">
        <v>2040</v>
      </c>
      <c r="C19">
        <v>6003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8.8522491426155501</v>
      </c>
      <c r="K19" s="3">
        <v>0</v>
      </c>
      <c r="L19" s="3">
        <v>1869.85191944351</v>
      </c>
      <c r="M19" s="3">
        <v>0</v>
      </c>
      <c r="N19" s="3">
        <v>9766.8952334179503</v>
      </c>
      <c r="O19" s="3">
        <v>0</v>
      </c>
      <c r="P19" s="3">
        <v>20.7806786378152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86.119599503349605</v>
      </c>
      <c r="Y19" s="3">
        <f t="shared" si="0"/>
        <v>9766.8952334179503</v>
      </c>
    </row>
    <row r="20" spans="1:25" x14ac:dyDescent="0.2">
      <c r="A20">
        <v>26</v>
      </c>
      <c r="B20">
        <v>2041</v>
      </c>
      <c r="C20">
        <v>6003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9.4027215229449901</v>
      </c>
      <c r="K20" s="3">
        <v>0</v>
      </c>
      <c r="L20" s="3">
        <v>145.97459045904401</v>
      </c>
      <c r="M20" s="3">
        <v>0</v>
      </c>
      <c r="N20" s="3">
        <v>795.19090533790802</v>
      </c>
      <c r="O20" s="3">
        <v>0</v>
      </c>
      <c r="P20" s="3">
        <v>20.9968799760506</v>
      </c>
      <c r="Q20" s="3">
        <v>0</v>
      </c>
      <c r="R20" s="3">
        <v>0</v>
      </c>
      <c r="S20" s="3">
        <v>0</v>
      </c>
      <c r="T20" s="3">
        <v>1764.63351554768</v>
      </c>
      <c r="U20" s="3">
        <v>0</v>
      </c>
      <c r="V20" s="3">
        <v>0</v>
      </c>
      <c r="W20" s="3">
        <v>3.7293260702095399</v>
      </c>
      <c r="Y20" s="3">
        <f t="shared" si="0"/>
        <v>795.19090533790802</v>
      </c>
    </row>
    <row r="21" spans="1:25" x14ac:dyDescent="0.2">
      <c r="A21">
        <v>27</v>
      </c>
      <c r="B21">
        <v>2042</v>
      </c>
      <c r="C21">
        <v>6003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9.1792310995485202</v>
      </c>
      <c r="K21" s="3">
        <v>0</v>
      </c>
      <c r="L21" s="3">
        <v>151.737848982667</v>
      </c>
      <c r="M21" s="3">
        <v>0</v>
      </c>
      <c r="N21" s="3">
        <v>431.272181556497</v>
      </c>
      <c r="O21" s="3">
        <v>0</v>
      </c>
      <c r="P21" s="3">
        <v>21.327359531170998</v>
      </c>
      <c r="Q21" s="3">
        <v>0</v>
      </c>
      <c r="R21" s="3">
        <v>0</v>
      </c>
      <c r="S21" s="3">
        <v>0</v>
      </c>
      <c r="T21" s="3">
        <v>659.37163815635404</v>
      </c>
      <c r="U21" s="3">
        <v>102.10049555280401</v>
      </c>
      <c r="V21" s="3">
        <v>0</v>
      </c>
      <c r="W21" s="3">
        <v>0</v>
      </c>
      <c r="Y21" s="3">
        <f t="shared" si="0"/>
        <v>431.272181556497</v>
      </c>
    </row>
    <row r="22" spans="1:25" x14ac:dyDescent="0.2">
      <c r="A22">
        <v>28</v>
      </c>
      <c r="B22">
        <v>2043</v>
      </c>
      <c r="C22">
        <v>6003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9.7218591986954799</v>
      </c>
      <c r="K22" s="3">
        <v>0</v>
      </c>
      <c r="L22" s="3">
        <v>155.823110549104</v>
      </c>
      <c r="M22" s="3">
        <v>0</v>
      </c>
      <c r="N22" s="3">
        <v>110.71145751195</v>
      </c>
      <c r="O22" s="3">
        <v>0</v>
      </c>
      <c r="P22" s="3">
        <v>21.4013270253038</v>
      </c>
      <c r="Q22" s="3">
        <v>0</v>
      </c>
      <c r="R22" s="3">
        <v>0</v>
      </c>
      <c r="S22" s="3">
        <v>0</v>
      </c>
      <c r="T22" s="3">
        <v>727.99582247400599</v>
      </c>
      <c r="U22" s="3">
        <v>141.62150165973401</v>
      </c>
      <c r="V22" s="3">
        <v>383.445922574691</v>
      </c>
      <c r="W22" s="3">
        <v>0</v>
      </c>
      <c r="Y22" s="3">
        <f t="shared" si="0"/>
        <v>110.71145751195</v>
      </c>
    </row>
    <row r="23" spans="1:25" x14ac:dyDescent="0.2">
      <c r="A23">
        <v>29</v>
      </c>
      <c r="B23">
        <v>2044</v>
      </c>
      <c r="C23">
        <v>6003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10.2591196325872</v>
      </c>
      <c r="K23" s="3">
        <v>0</v>
      </c>
      <c r="L23" s="3">
        <v>8433.2467521096805</v>
      </c>
      <c r="M23" s="3">
        <v>0</v>
      </c>
      <c r="N23" s="3">
        <v>112.86642527952399</v>
      </c>
      <c r="O23" s="3">
        <v>0</v>
      </c>
      <c r="P23" s="3">
        <v>21.5101580806678</v>
      </c>
      <c r="Q23" s="3">
        <v>0</v>
      </c>
      <c r="R23" s="3">
        <v>0</v>
      </c>
      <c r="S23" s="3">
        <v>0</v>
      </c>
      <c r="T23" s="3">
        <v>1003.40133486761</v>
      </c>
      <c r="U23" s="3">
        <v>472.02985509973701</v>
      </c>
      <c r="V23" s="3">
        <v>396.08950684913799</v>
      </c>
      <c r="W23" s="3">
        <v>0</v>
      </c>
      <c r="Y23" s="3">
        <f t="shared" si="0"/>
        <v>112.86642527952399</v>
      </c>
    </row>
    <row r="24" spans="1:25" x14ac:dyDescent="0.2">
      <c r="A24">
        <v>30</v>
      </c>
      <c r="B24">
        <v>2045</v>
      </c>
      <c r="C24">
        <v>6003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10.790004408461</v>
      </c>
      <c r="K24" s="3">
        <v>0</v>
      </c>
      <c r="L24" s="3">
        <v>165.12660405565001</v>
      </c>
      <c r="M24" s="3">
        <v>0</v>
      </c>
      <c r="N24" s="3">
        <v>1540.5677294414299</v>
      </c>
      <c r="O24" s="3">
        <v>0</v>
      </c>
      <c r="P24" s="3">
        <v>21.654951573068999</v>
      </c>
      <c r="Q24" s="3">
        <v>0</v>
      </c>
      <c r="R24" s="3">
        <v>6778.7184598436397</v>
      </c>
      <c r="S24" s="3">
        <v>0</v>
      </c>
      <c r="T24" s="3">
        <v>1892.7054291592799</v>
      </c>
      <c r="U24" s="3">
        <v>1843.99609662526</v>
      </c>
      <c r="V24" s="3">
        <v>303.98942872929598</v>
      </c>
      <c r="W24" s="3">
        <v>113.502000377268</v>
      </c>
      <c r="Y24" s="3">
        <f t="shared" si="0"/>
        <v>1540.5677294414299</v>
      </c>
    </row>
    <row r="25" spans="1:25" x14ac:dyDescent="0.2">
      <c r="A25">
        <v>31</v>
      </c>
      <c r="B25">
        <v>2046</v>
      </c>
      <c r="C25">
        <v>6003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14.9154490320393</v>
      </c>
      <c r="K25" s="3">
        <v>0</v>
      </c>
      <c r="L25" s="3">
        <v>168.111521153468</v>
      </c>
      <c r="M25" s="3">
        <v>0</v>
      </c>
      <c r="N25" s="3">
        <v>116.525767002655</v>
      </c>
      <c r="O25" s="3">
        <v>0</v>
      </c>
      <c r="P25" s="3">
        <v>21.542857670093301</v>
      </c>
      <c r="Q25" s="3">
        <v>0</v>
      </c>
      <c r="R25" s="3">
        <v>0</v>
      </c>
      <c r="S25" s="3">
        <v>0</v>
      </c>
      <c r="T25" s="3">
        <v>677.38927086803903</v>
      </c>
      <c r="U25" s="3">
        <v>198.891517083949</v>
      </c>
      <c r="V25" s="3">
        <v>428.92563582378898</v>
      </c>
      <c r="W25" s="3">
        <v>645.04694802149697</v>
      </c>
      <c r="Y25" s="3">
        <f t="shared" si="0"/>
        <v>116.525767002655</v>
      </c>
    </row>
    <row r="26" spans="1:25" x14ac:dyDescent="0.2">
      <c r="A26">
        <v>32</v>
      </c>
      <c r="B26">
        <v>2047</v>
      </c>
      <c r="C26">
        <v>6003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15.519214326954099</v>
      </c>
      <c r="K26" s="3">
        <v>0</v>
      </c>
      <c r="L26" s="3">
        <v>172.128173016978</v>
      </c>
      <c r="M26" s="3">
        <v>0</v>
      </c>
      <c r="N26" s="3">
        <v>245.040980123205</v>
      </c>
      <c r="O26" s="3">
        <v>0</v>
      </c>
      <c r="P26" s="3">
        <v>21.5537807193638</v>
      </c>
      <c r="Q26" s="3">
        <v>0</v>
      </c>
      <c r="R26" s="3">
        <v>0</v>
      </c>
      <c r="S26" s="3">
        <v>0</v>
      </c>
      <c r="T26" s="3">
        <v>1283.62213779944</v>
      </c>
      <c r="U26" s="3">
        <v>961.61165982998</v>
      </c>
      <c r="V26" s="3">
        <v>8.7438467145852705</v>
      </c>
      <c r="W26" s="3">
        <v>212.56732211028901</v>
      </c>
      <c r="Y26" s="3">
        <f t="shared" si="0"/>
        <v>245.040980123205</v>
      </c>
    </row>
    <row r="27" spans="1:25" x14ac:dyDescent="0.2">
      <c r="A27">
        <v>33</v>
      </c>
      <c r="B27">
        <v>2048</v>
      </c>
      <c r="C27">
        <v>6003</v>
      </c>
      <c r="D27" s="3">
        <v>0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3">
        <v>16.107307424219002</v>
      </c>
      <c r="K27" s="3">
        <v>0</v>
      </c>
      <c r="L27" s="3">
        <v>177.3409584039</v>
      </c>
      <c r="M27" s="3">
        <v>0</v>
      </c>
      <c r="N27" s="3">
        <v>274.30072308115598</v>
      </c>
      <c r="O27" s="3">
        <v>0</v>
      </c>
      <c r="P27" s="3">
        <v>21.699324730082601</v>
      </c>
      <c r="Q27" s="3">
        <v>0</v>
      </c>
      <c r="R27" s="3">
        <v>0</v>
      </c>
      <c r="S27" s="3">
        <v>0</v>
      </c>
      <c r="T27" s="3">
        <v>0</v>
      </c>
      <c r="U27" s="3">
        <v>140.229344646291</v>
      </c>
      <c r="V27" s="3">
        <v>0</v>
      </c>
      <c r="W27" s="3">
        <v>552.11844768740605</v>
      </c>
      <c r="Y27" s="3">
        <f t="shared" si="0"/>
        <v>274.30072308115598</v>
      </c>
    </row>
    <row r="28" spans="1:25" x14ac:dyDescent="0.2">
      <c r="A28">
        <v>34</v>
      </c>
      <c r="B28">
        <v>2049</v>
      </c>
      <c r="C28">
        <v>6003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16.715507197505499</v>
      </c>
      <c r="K28" s="3">
        <v>0</v>
      </c>
      <c r="L28" s="3">
        <v>184.13438055661899</v>
      </c>
      <c r="M28" s="3">
        <v>0</v>
      </c>
      <c r="N28" s="3">
        <v>284.84189987398202</v>
      </c>
      <c r="O28" s="3">
        <v>0</v>
      </c>
      <c r="P28" s="3">
        <v>22.015964678833999</v>
      </c>
      <c r="Q28" s="3">
        <v>0</v>
      </c>
      <c r="R28" s="3">
        <v>0</v>
      </c>
      <c r="S28" s="3">
        <v>0</v>
      </c>
      <c r="T28" s="3">
        <v>1072.0387847008701</v>
      </c>
      <c r="U28" s="3">
        <v>448.10909540377099</v>
      </c>
      <c r="V28" s="3">
        <v>0</v>
      </c>
      <c r="W28" s="3">
        <v>212.294622621088</v>
      </c>
      <c r="Y28" s="3">
        <f t="shared" si="0"/>
        <v>284.84189987398202</v>
      </c>
    </row>
    <row r="29" spans="1:25" x14ac:dyDescent="0.2">
      <c r="A29">
        <v>35</v>
      </c>
      <c r="B29">
        <v>2050</v>
      </c>
      <c r="C29">
        <v>6003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>
        <v>17.344826721670401</v>
      </c>
      <c r="K29" s="3">
        <v>0</v>
      </c>
      <c r="L29" s="3">
        <v>191.88236287865601</v>
      </c>
      <c r="M29" s="3">
        <v>0</v>
      </c>
      <c r="N29" s="3">
        <v>296.86391415958002</v>
      </c>
      <c r="O29" s="3">
        <v>0</v>
      </c>
      <c r="P29" s="3">
        <v>22.4183455668249</v>
      </c>
      <c r="Q29" s="3">
        <v>0</v>
      </c>
      <c r="R29" s="3">
        <v>0</v>
      </c>
      <c r="S29" s="3">
        <v>0</v>
      </c>
      <c r="T29" s="3">
        <v>0</v>
      </c>
      <c r="U29" s="3">
        <v>122.32977657971701</v>
      </c>
      <c r="V29" s="3">
        <v>0</v>
      </c>
      <c r="W29" s="3">
        <v>224.18690636511499</v>
      </c>
      <c r="Y29" s="3">
        <f t="shared" si="0"/>
        <v>296.86391415958002</v>
      </c>
    </row>
    <row r="30" spans="1:25" x14ac:dyDescent="0.2">
      <c r="A30">
        <v>36</v>
      </c>
      <c r="B30">
        <v>2051</v>
      </c>
      <c r="C30">
        <v>6003</v>
      </c>
      <c r="D30" s="3">
        <v>0</v>
      </c>
      <c r="E30" s="3">
        <v>0</v>
      </c>
      <c r="F30" s="3">
        <v>0</v>
      </c>
      <c r="G30" s="3">
        <v>0</v>
      </c>
      <c r="H30" s="3">
        <v>0</v>
      </c>
      <c r="I30" s="3">
        <v>0</v>
      </c>
      <c r="J30" s="3">
        <v>17.8470421598523</v>
      </c>
      <c r="K30" s="3">
        <v>0</v>
      </c>
      <c r="L30" s="3">
        <v>221.53091004096399</v>
      </c>
      <c r="M30" s="3">
        <v>0</v>
      </c>
      <c r="N30" s="3">
        <v>343.06680517638199</v>
      </c>
      <c r="O30" s="3">
        <v>0</v>
      </c>
      <c r="P30" s="3">
        <v>25.882297989900099</v>
      </c>
      <c r="Q30" s="3">
        <v>0</v>
      </c>
      <c r="R30" s="3">
        <v>0</v>
      </c>
      <c r="S30" s="3">
        <v>0</v>
      </c>
      <c r="T30" s="3">
        <v>0</v>
      </c>
      <c r="U30" s="3">
        <v>117.51078957998099</v>
      </c>
      <c r="V30" s="3">
        <v>0</v>
      </c>
      <c r="W30" s="3">
        <v>267.65199847495802</v>
      </c>
      <c r="Y30" s="3">
        <f t="shared" si="0"/>
        <v>343.06680517638199</v>
      </c>
    </row>
    <row r="31" spans="1:25" x14ac:dyDescent="0.2">
      <c r="A31">
        <v>37</v>
      </c>
      <c r="B31">
        <v>2052</v>
      </c>
      <c r="C31">
        <v>6003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3">
        <v>18.455375437699601</v>
      </c>
      <c r="K31" s="3">
        <v>0</v>
      </c>
      <c r="L31" s="3">
        <v>222.163010440627</v>
      </c>
      <c r="M31" s="3">
        <v>0</v>
      </c>
      <c r="N31" s="3">
        <v>344.04106333031302</v>
      </c>
      <c r="O31" s="3">
        <v>0</v>
      </c>
      <c r="P31" s="3">
        <v>25.956148681438101</v>
      </c>
      <c r="Q31" s="3">
        <v>0</v>
      </c>
      <c r="R31" s="3">
        <v>0</v>
      </c>
      <c r="S31" s="3">
        <v>0</v>
      </c>
      <c r="T31" s="3">
        <v>615.785617786481</v>
      </c>
      <c r="U31" s="3">
        <v>1203.82208731846</v>
      </c>
      <c r="V31" s="3">
        <v>0</v>
      </c>
      <c r="W31" s="3">
        <v>303.06289027815399</v>
      </c>
      <c r="Y31" s="3">
        <f t="shared" si="0"/>
        <v>344.04106333031302</v>
      </c>
    </row>
    <row r="32" spans="1:25" x14ac:dyDescent="0.2">
      <c r="A32">
        <v>38</v>
      </c>
      <c r="B32">
        <v>2053</v>
      </c>
      <c r="C32">
        <v>6003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19.0970075497004</v>
      </c>
      <c r="K32" s="3">
        <v>0</v>
      </c>
      <c r="L32" s="3">
        <v>220.51064262609</v>
      </c>
      <c r="M32" s="3">
        <v>0</v>
      </c>
      <c r="N32" s="3">
        <v>1091.3765607024</v>
      </c>
      <c r="O32" s="3">
        <v>0</v>
      </c>
      <c r="P32" s="3">
        <v>25.763096271023599</v>
      </c>
      <c r="Q32" s="3">
        <v>0</v>
      </c>
      <c r="R32" s="3">
        <v>0</v>
      </c>
      <c r="S32" s="3">
        <v>0</v>
      </c>
      <c r="T32" s="3">
        <v>0</v>
      </c>
      <c r="U32" s="3">
        <v>116.969590026915</v>
      </c>
      <c r="V32" s="3">
        <v>0</v>
      </c>
      <c r="W32" s="3">
        <v>319.16979155530998</v>
      </c>
      <c r="Y32" s="3">
        <f t="shared" si="0"/>
        <v>1091.3765607024</v>
      </c>
    </row>
    <row r="33" spans="1:26" x14ac:dyDescent="0.2">
      <c r="A33">
        <v>39</v>
      </c>
      <c r="B33">
        <v>2054</v>
      </c>
      <c r="C33">
        <v>6003</v>
      </c>
      <c r="D33" s="3">
        <v>0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  <c r="J33" s="3">
        <v>19.776179405122502</v>
      </c>
      <c r="K33" s="3">
        <v>0</v>
      </c>
      <c r="L33" s="3">
        <v>218.86191295341899</v>
      </c>
      <c r="M33" s="3">
        <v>0</v>
      </c>
      <c r="N33" s="3">
        <v>884.48189791480195</v>
      </c>
      <c r="O33" s="3">
        <v>0</v>
      </c>
      <c r="P33" s="3">
        <v>25.5704689185478</v>
      </c>
      <c r="Q33" s="3">
        <v>0</v>
      </c>
      <c r="R33" s="3">
        <v>0</v>
      </c>
      <c r="S33" s="3">
        <v>0</v>
      </c>
      <c r="T33" s="3">
        <v>0</v>
      </c>
      <c r="U33" s="3">
        <v>555.01313128140998</v>
      </c>
      <c r="V33" s="3">
        <v>0</v>
      </c>
      <c r="W33" s="3">
        <v>254.14463291858499</v>
      </c>
      <c r="Y33" s="3">
        <f t="shared" si="0"/>
        <v>884.48189791480195</v>
      </c>
    </row>
    <row r="34" spans="1:26" x14ac:dyDescent="0.2">
      <c r="A34">
        <v>40</v>
      </c>
      <c r="B34">
        <v>2055</v>
      </c>
      <c r="C34">
        <v>6003</v>
      </c>
      <c r="D34" s="3">
        <v>0</v>
      </c>
      <c r="E34" s="3">
        <v>0</v>
      </c>
      <c r="F34" s="3">
        <v>0</v>
      </c>
      <c r="G34" s="3">
        <v>0</v>
      </c>
      <c r="H34" s="3">
        <v>0</v>
      </c>
      <c r="I34" s="3">
        <v>0</v>
      </c>
      <c r="J34" s="3">
        <v>20.49239709918</v>
      </c>
      <c r="K34" s="3">
        <v>0</v>
      </c>
      <c r="L34" s="3">
        <v>215.14723148629599</v>
      </c>
      <c r="M34" s="3">
        <v>0</v>
      </c>
      <c r="N34" s="3">
        <v>390.39500259127601</v>
      </c>
      <c r="O34" s="3">
        <v>0</v>
      </c>
      <c r="P34" s="3">
        <v>127.787337791148</v>
      </c>
      <c r="Q34" s="3">
        <v>0</v>
      </c>
      <c r="R34" s="3">
        <v>0</v>
      </c>
      <c r="S34" s="3">
        <v>0</v>
      </c>
      <c r="T34" s="3">
        <v>638.40015703812605</v>
      </c>
      <c r="U34" s="3">
        <v>195.72015872645099</v>
      </c>
      <c r="V34" s="3">
        <v>0</v>
      </c>
      <c r="W34" s="3">
        <v>3567.0603151042101</v>
      </c>
      <c r="Y34" s="3">
        <f t="shared" si="0"/>
        <v>390.39500259127601</v>
      </c>
    </row>
    <row r="35" spans="1:26" x14ac:dyDescent="0.2">
      <c r="A35">
        <v>41</v>
      </c>
      <c r="B35">
        <v>2056</v>
      </c>
      <c r="C35">
        <v>6003</v>
      </c>
      <c r="D35" s="3">
        <v>0</v>
      </c>
      <c r="E35" s="3">
        <v>0</v>
      </c>
      <c r="F35" s="3">
        <v>0</v>
      </c>
      <c r="G35" s="3">
        <v>0</v>
      </c>
      <c r="H35" s="3">
        <v>0</v>
      </c>
      <c r="I35" s="3">
        <v>0</v>
      </c>
      <c r="J35" s="3">
        <v>21.2322133942717</v>
      </c>
      <c r="K35" s="3">
        <v>0</v>
      </c>
      <c r="L35" s="3">
        <v>211.68102596453099</v>
      </c>
      <c r="M35" s="3">
        <v>0</v>
      </c>
      <c r="N35" s="3">
        <v>394.61956444165702</v>
      </c>
      <c r="O35" s="3">
        <v>0</v>
      </c>
      <c r="P35" s="3">
        <v>176.898783049527</v>
      </c>
      <c r="Q35" s="3">
        <v>0</v>
      </c>
      <c r="R35" s="3">
        <v>0</v>
      </c>
      <c r="S35" s="3">
        <v>0</v>
      </c>
      <c r="T35" s="3">
        <v>0</v>
      </c>
      <c r="U35" s="3">
        <v>338.23650585142099</v>
      </c>
      <c r="V35" s="3">
        <v>0</v>
      </c>
      <c r="W35" s="3">
        <v>217.799858423101</v>
      </c>
      <c r="Y35" s="3">
        <f t="shared" si="0"/>
        <v>394.61956444165702</v>
      </c>
    </row>
    <row r="36" spans="1:26" x14ac:dyDescent="0.2">
      <c r="A36">
        <v>42</v>
      </c>
      <c r="B36">
        <v>2057</v>
      </c>
      <c r="C36">
        <v>6003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22.835736137486901</v>
      </c>
      <c r="K36" s="3">
        <v>0</v>
      </c>
      <c r="L36" s="3">
        <v>209.58903961482301</v>
      </c>
      <c r="M36" s="3">
        <v>0</v>
      </c>
      <c r="N36" s="3">
        <v>758.08173403054298</v>
      </c>
      <c r="O36" s="3">
        <v>0</v>
      </c>
      <c r="P36" s="3">
        <v>26.695382123993699</v>
      </c>
      <c r="Q36" s="3">
        <v>0</v>
      </c>
      <c r="R36" s="3">
        <v>0</v>
      </c>
      <c r="S36" s="3">
        <v>0</v>
      </c>
      <c r="T36" s="3">
        <v>0</v>
      </c>
      <c r="U36" s="3">
        <v>348.16816301608799</v>
      </c>
      <c r="V36" s="3">
        <v>0</v>
      </c>
      <c r="W36" s="3">
        <v>236.321686958128</v>
      </c>
      <c r="Y36" s="3">
        <f t="shared" si="0"/>
        <v>758.08173403054298</v>
      </c>
    </row>
    <row r="37" spans="1:26" x14ac:dyDescent="0.2">
      <c r="A37">
        <v>43</v>
      </c>
      <c r="B37">
        <v>2058</v>
      </c>
      <c r="C37">
        <v>6003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23.679906257847101</v>
      </c>
      <c r="K37" s="3">
        <v>0</v>
      </c>
      <c r="L37" s="3">
        <v>1049.9051799781</v>
      </c>
      <c r="M37" s="3">
        <v>0</v>
      </c>
      <c r="N37" s="3">
        <v>1219.19156693126</v>
      </c>
      <c r="O37" s="3">
        <v>0</v>
      </c>
      <c r="P37" s="3">
        <v>919.547657612477</v>
      </c>
      <c r="Q37" s="3">
        <v>0</v>
      </c>
      <c r="R37" s="3">
        <v>0</v>
      </c>
      <c r="S37" s="3">
        <v>0</v>
      </c>
      <c r="T37" s="3">
        <v>164.633031731817</v>
      </c>
      <c r="U37" s="3">
        <v>0</v>
      </c>
      <c r="V37" s="3">
        <v>0</v>
      </c>
      <c r="W37" s="3">
        <v>66.703787869358806</v>
      </c>
      <c r="Y37" s="3">
        <f t="shared" si="0"/>
        <v>1219.19156693126</v>
      </c>
    </row>
    <row r="38" spans="1:26" x14ac:dyDescent="0.2">
      <c r="A38">
        <v>44</v>
      </c>
      <c r="B38">
        <v>2059</v>
      </c>
      <c r="C38">
        <v>6003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24.545590845254001</v>
      </c>
      <c r="K38" s="3">
        <v>0</v>
      </c>
      <c r="L38" s="3">
        <v>281.30418694310998</v>
      </c>
      <c r="M38" s="3">
        <v>0</v>
      </c>
      <c r="N38" s="3">
        <v>432.23401317220402</v>
      </c>
      <c r="O38" s="3">
        <v>0</v>
      </c>
      <c r="P38" s="3">
        <v>32.213842746848002</v>
      </c>
      <c r="Q38" s="3">
        <v>0</v>
      </c>
      <c r="R38" s="3">
        <v>0</v>
      </c>
      <c r="S38" s="3">
        <v>0</v>
      </c>
      <c r="T38" s="3">
        <v>186.62654774427401</v>
      </c>
      <c r="U38" s="3">
        <v>104.099746881355</v>
      </c>
      <c r="V38" s="3">
        <v>0</v>
      </c>
      <c r="W38" s="3">
        <v>156.78262163871301</v>
      </c>
      <c r="Y38" s="3">
        <f t="shared" si="0"/>
        <v>432.23401317220402</v>
      </c>
    </row>
    <row r="39" spans="1:26" ht="17" thickBot="1" x14ac:dyDescent="0.25">
      <c r="A39" s="5">
        <v>45</v>
      </c>
      <c r="B39" s="5">
        <v>2060</v>
      </c>
      <c r="C39" s="5">
        <v>6003</v>
      </c>
      <c r="D39" s="6">
        <v>0</v>
      </c>
      <c r="E39" s="6">
        <v>0</v>
      </c>
      <c r="F39" s="6">
        <v>0</v>
      </c>
      <c r="G39" s="6">
        <v>0</v>
      </c>
      <c r="H39" s="6">
        <v>0</v>
      </c>
      <c r="I39" s="6">
        <v>0</v>
      </c>
      <c r="J39" s="6">
        <v>25.387965424052702</v>
      </c>
      <c r="K39" s="6">
        <v>0</v>
      </c>
      <c r="L39" s="6">
        <v>36.599281910306999</v>
      </c>
      <c r="M39" s="6">
        <v>0</v>
      </c>
      <c r="N39" s="6">
        <v>887.56321702977698</v>
      </c>
      <c r="O39" s="6">
        <v>0</v>
      </c>
      <c r="P39" s="6">
        <v>32.675301780915397</v>
      </c>
      <c r="Q39" s="6">
        <v>0</v>
      </c>
      <c r="R39" s="6">
        <v>0</v>
      </c>
      <c r="S39" s="6">
        <v>0</v>
      </c>
      <c r="T39" s="6">
        <v>187.12561127666299</v>
      </c>
      <c r="U39" s="6">
        <v>178.859277981556</v>
      </c>
      <c r="V39" s="6">
        <v>0</v>
      </c>
      <c r="W39" s="6">
        <v>192.81078964990499</v>
      </c>
      <c r="Y39" s="3">
        <f t="shared" si="0"/>
        <v>887.56321702977698</v>
      </c>
      <c r="Z39" s="3">
        <f>+SUM(Y2:Y39)</f>
        <v>25100.442083928028</v>
      </c>
    </row>
    <row r="40" spans="1:26" ht="17" thickTop="1" x14ac:dyDescent="0.2">
      <c r="A40">
        <v>8</v>
      </c>
      <c r="B40">
        <f t="shared" ref="B40:B103" si="1">+A40+2015</f>
        <v>2023</v>
      </c>
      <c r="C40">
        <v>6004</v>
      </c>
      <c r="D40" s="3">
        <v>0</v>
      </c>
      <c r="E40" s="3">
        <v>0</v>
      </c>
      <c r="F40" s="3">
        <v>0</v>
      </c>
      <c r="G40" s="3">
        <v>0</v>
      </c>
      <c r="H40" s="3">
        <v>0</v>
      </c>
      <c r="I40" s="3">
        <v>0</v>
      </c>
      <c r="J40" s="3">
        <v>9.0939510815845004E-2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51.902558237164698</v>
      </c>
      <c r="W40" s="3">
        <v>0</v>
      </c>
      <c r="Y40" s="3">
        <f t="shared" si="0"/>
        <v>0</v>
      </c>
    </row>
    <row r="41" spans="1:26" x14ac:dyDescent="0.2">
      <c r="A41">
        <v>9</v>
      </c>
      <c r="B41">
        <f t="shared" si="1"/>
        <v>2024</v>
      </c>
      <c r="C41">
        <v>6004</v>
      </c>
      <c r="D41" s="3">
        <v>0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8.4500275738988204E-2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0</v>
      </c>
      <c r="T41" s="3">
        <v>0</v>
      </c>
      <c r="U41" s="3">
        <v>889.42001167763999</v>
      </c>
      <c r="V41" s="3">
        <v>40.998840845540997</v>
      </c>
      <c r="W41" s="3">
        <v>0</v>
      </c>
      <c r="Y41" s="3">
        <f t="shared" si="0"/>
        <v>0</v>
      </c>
    </row>
    <row r="42" spans="1:26" x14ac:dyDescent="0.2">
      <c r="A42">
        <v>10</v>
      </c>
      <c r="B42">
        <f t="shared" si="1"/>
        <v>2025</v>
      </c>
      <c r="C42">
        <v>6004</v>
      </c>
      <c r="D42" s="3">
        <v>0</v>
      </c>
      <c r="E42" s="3">
        <v>0</v>
      </c>
      <c r="F42" s="3">
        <v>0</v>
      </c>
      <c r="G42" s="3">
        <v>0</v>
      </c>
      <c r="H42" s="3">
        <v>0</v>
      </c>
      <c r="I42" s="3">
        <v>0</v>
      </c>
      <c r="J42" s="3">
        <v>7.7563909608689197E-2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0</v>
      </c>
      <c r="T42" s="3">
        <v>0</v>
      </c>
      <c r="U42" s="3">
        <v>106.13397217461601</v>
      </c>
      <c r="V42" s="3">
        <v>28.476362316652899</v>
      </c>
      <c r="W42" s="3">
        <v>0</v>
      </c>
      <c r="Y42" s="3">
        <f t="shared" si="0"/>
        <v>0</v>
      </c>
    </row>
    <row r="43" spans="1:26" x14ac:dyDescent="0.2">
      <c r="A43">
        <v>11</v>
      </c>
      <c r="B43">
        <f t="shared" si="1"/>
        <v>2026</v>
      </c>
      <c r="C43">
        <v>6004</v>
      </c>
      <c r="D43" s="3">
        <v>0</v>
      </c>
      <c r="E43" s="3">
        <v>0</v>
      </c>
      <c r="F43" s="3">
        <v>0</v>
      </c>
      <c r="G43" s="3">
        <v>0</v>
      </c>
      <c r="H43" s="3">
        <v>0</v>
      </c>
      <c r="I43" s="3">
        <v>0</v>
      </c>
      <c r="J43" s="3">
        <v>15.6568535739132</v>
      </c>
      <c r="K43" s="3">
        <v>0</v>
      </c>
      <c r="L43" s="3">
        <v>0</v>
      </c>
      <c r="M43" s="3">
        <v>0</v>
      </c>
      <c r="N43" s="3">
        <v>0</v>
      </c>
      <c r="O43" s="3">
        <v>1647.60486291287</v>
      </c>
      <c r="P43" s="3">
        <v>86.203183176172701</v>
      </c>
      <c r="Q43" s="3">
        <v>0</v>
      </c>
      <c r="R43" s="3">
        <v>0</v>
      </c>
      <c r="S43" s="3">
        <v>0</v>
      </c>
      <c r="T43" s="3">
        <v>0</v>
      </c>
      <c r="U43" s="3">
        <v>1065.5175157988201</v>
      </c>
      <c r="V43" s="3">
        <v>0</v>
      </c>
      <c r="W43" s="3">
        <v>1247.3229502828899</v>
      </c>
      <c r="Y43" s="3">
        <f t="shared" si="0"/>
        <v>1647.60486291287</v>
      </c>
    </row>
    <row r="44" spans="1:26" x14ac:dyDescent="0.2">
      <c r="A44">
        <v>12</v>
      </c>
      <c r="B44">
        <f t="shared" si="1"/>
        <v>2027</v>
      </c>
      <c r="C44">
        <v>6004</v>
      </c>
      <c r="D44" s="3">
        <v>0</v>
      </c>
      <c r="E44" s="3">
        <v>0</v>
      </c>
      <c r="F44" s="3">
        <v>0</v>
      </c>
      <c r="G44" s="3">
        <v>0</v>
      </c>
      <c r="H44" s="3">
        <v>0</v>
      </c>
      <c r="I44" s="3">
        <v>0</v>
      </c>
      <c r="J44" s="3">
        <v>17.512375722593301</v>
      </c>
      <c r="K44" s="3">
        <v>0</v>
      </c>
      <c r="L44" s="3">
        <v>0</v>
      </c>
      <c r="M44" s="3">
        <v>0</v>
      </c>
      <c r="N44" s="3">
        <v>0</v>
      </c>
      <c r="O44" s="3">
        <v>1664.9945963278899</v>
      </c>
      <c r="P44" s="3">
        <v>621.05880962638798</v>
      </c>
      <c r="Q44" s="3">
        <v>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365.951585072341</v>
      </c>
      <c r="Y44" s="3">
        <f t="shared" si="0"/>
        <v>1664.9945963278899</v>
      </c>
    </row>
    <row r="45" spans="1:26" x14ac:dyDescent="0.2">
      <c r="A45">
        <v>13</v>
      </c>
      <c r="B45">
        <f t="shared" si="1"/>
        <v>2028</v>
      </c>
      <c r="C45">
        <v>6004</v>
      </c>
      <c r="D45" s="3">
        <v>0</v>
      </c>
      <c r="E45" s="3">
        <v>0</v>
      </c>
      <c r="F45" s="3">
        <v>0</v>
      </c>
      <c r="G45" s="3">
        <v>0</v>
      </c>
      <c r="H45" s="3">
        <v>0</v>
      </c>
      <c r="I45" s="3">
        <v>0</v>
      </c>
      <c r="J45" s="3">
        <v>21.841417907883301</v>
      </c>
      <c r="K45" s="3">
        <v>0</v>
      </c>
      <c r="L45" s="3">
        <v>0</v>
      </c>
      <c r="M45" s="3">
        <v>0</v>
      </c>
      <c r="N45" s="3">
        <v>0</v>
      </c>
      <c r="O45" s="3">
        <v>1683.97551860414</v>
      </c>
      <c r="P45" s="3">
        <v>1686.28066700761</v>
      </c>
      <c r="Q45" s="3">
        <v>0</v>
      </c>
      <c r="R45" s="3">
        <v>0</v>
      </c>
      <c r="S45" s="3">
        <v>0</v>
      </c>
      <c r="T45" s="3">
        <v>0</v>
      </c>
      <c r="U45" s="3">
        <v>3005.4560219121199</v>
      </c>
      <c r="V45" s="3">
        <v>0</v>
      </c>
      <c r="W45" s="3">
        <v>0</v>
      </c>
      <c r="Y45" s="3">
        <f t="shared" si="0"/>
        <v>1683.97551860414</v>
      </c>
    </row>
    <row r="46" spans="1:26" x14ac:dyDescent="0.2">
      <c r="A46">
        <v>14</v>
      </c>
      <c r="B46">
        <f t="shared" si="1"/>
        <v>2029</v>
      </c>
      <c r="C46">
        <v>6004</v>
      </c>
      <c r="D46" s="3">
        <v>0</v>
      </c>
      <c r="E46" s="3">
        <v>0</v>
      </c>
      <c r="F46" s="3">
        <v>0</v>
      </c>
      <c r="G46" s="3">
        <v>0</v>
      </c>
      <c r="H46" s="3">
        <v>0</v>
      </c>
      <c r="I46" s="3">
        <v>0</v>
      </c>
      <c r="J46" s="3">
        <v>29.873415064548301</v>
      </c>
      <c r="K46" s="3">
        <v>0</v>
      </c>
      <c r="L46" s="3">
        <v>0</v>
      </c>
      <c r="M46" s="3">
        <v>0</v>
      </c>
      <c r="N46" s="3">
        <v>0</v>
      </c>
      <c r="O46" s="3">
        <v>1707.72531768968</v>
      </c>
      <c r="P46" s="3">
        <v>212.90599515607599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817.854309370588</v>
      </c>
      <c r="Y46" s="3">
        <f t="shared" si="0"/>
        <v>1707.72531768968</v>
      </c>
    </row>
    <row r="47" spans="1:26" x14ac:dyDescent="0.2">
      <c r="A47">
        <v>15</v>
      </c>
      <c r="B47">
        <f t="shared" si="1"/>
        <v>2030</v>
      </c>
      <c r="C47">
        <v>6004</v>
      </c>
      <c r="D47" s="3">
        <v>0</v>
      </c>
      <c r="E47" s="3">
        <v>0</v>
      </c>
      <c r="F47" s="3">
        <v>0</v>
      </c>
      <c r="G47" s="3">
        <v>0</v>
      </c>
      <c r="H47" s="3">
        <v>0</v>
      </c>
      <c r="I47" s="3">
        <v>0</v>
      </c>
      <c r="J47" s="3">
        <v>33.634040325944</v>
      </c>
      <c r="K47" s="3">
        <v>0</v>
      </c>
      <c r="L47" s="3">
        <v>0</v>
      </c>
      <c r="M47" s="3">
        <v>0</v>
      </c>
      <c r="N47" s="3">
        <v>0</v>
      </c>
      <c r="O47" s="3">
        <v>1738.77860684098</v>
      </c>
      <c r="P47" s="3">
        <v>213.71306219823401</v>
      </c>
      <c r="Q47" s="3">
        <v>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897.76936767473001</v>
      </c>
      <c r="Y47" s="3">
        <f t="shared" si="0"/>
        <v>1738.77860684098</v>
      </c>
    </row>
    <row r="48" spans="1:26" x14ac:dyDescent="0.2">
      <c r="A48">
        <v>16</v>
      </c>
      <c r="B48">
        <f t="shared" si="1"/>
        <v>2031</v>
      </c>
      <c r="C48">
        <v>6004</v>
      </c>
      <c r="D48" s="3">
        <v>0</v>
      </c>
      <c r="E48" s="3">
        <v>0</v>
      </c>
      <c r="F48" s="3">
        <v>0</v>
      </c>
      <c r="G48" s="3">
        <v>0</v>
      </c>
      <c r="H48" s="3">
        <v>0</v>
      </c>
      <c r="I48" s="3">
        <v>0</v>
      </c>
      <c r="J48" s="3">
        <v>37.587430071390997</v>
      </c>
      <c r="K48" s="3">
        <v>0</v>
      </c>
      <c r="L48" s="3">
        <v>0</v>
      </c>
      <c r="M48" s="3">
        <v>0</v>
      </c>
      <c r="N48" s="3">
        <v>0</v>
      </c>
      <c r="O48" s="3">
        <v>1768.5696249431201</v>
      </c>
      <c r="P48" s="3">
        <v>266.88035765998399</v>
      </c>
      <c r="Q48" s="3">
        <v>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899.59977094901103</v>
      </c>
      <c r="Y48" s="3">
        <f t="shared" si="0"/>
        <v>1768.5696249431201</v>
      </c>
    </row>
    <row r="49" spans="1:25" x14ac:dyDescent="0.2">
      <c r="A49">
        <v>17</v>
      </c>
      <c r="B49">
        <f t="shared" si="1"/>
        <v>2032</v>
      </c>
      <c r="C49">
        <v>6004</v>
      </c>
      <c r="D49" s="3">
        <v>0</v>
      </c>
      <c r="E49" s="3">
        <v>0</v>
      </c>
      <c r="F49" s="3">
        <v>0</v>
      </c>
      <c r="G49" s="3">
        <v>0</v>
      </c>
      <c r="H49" s="3">
        <v>0</v>
      </c>
      <c r="I49" s="3">
        <v>0</v>
      </c>
      <c r="J49" s="3">
        <v>41.795041937759002</v>
      </c>
      <c r="K49" s="3">
        <v>0</v>
      </c>
      <c r="L49" s="3">
        <v>0</v>
      </c>
      <c r="M49" s="3">
        <v>0</v>
      </c>
      <c r="N49" s="3">
        <v>0</v>
      </c>
      <c r="O49" s="3">
        <v>1805.0141574050299</v>
      </c>
      <c r="P49" s="3">
        <v>213.544403219375</v>
      </c>
      <c r="Q49" s="3">
        <v>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845.37933383138898</v>
      </c>
      <c r="Y49" s="3">
        <f t="shared" si="0"/>
        <v>1805.0141574050299</v>
      </c>
    </row>
    <row r="50" spans="1:25" x14ac:dyDescent="0.2">
      <c r="A50">
        <v>18</v>
      </c>
      <c r="B50">
        <f t="shared" si="1"/>
        <v>2033</v>
      </c>
      <c r="C50">
        <v>6004</v>
      </c>
      <c r="D50" s="3">
        <v>0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46.196281216373599</v>
      </c>
      <c r="K50" s="3">
        <v>0</v>
      </c>
      <c r="L50" s="3">
        <v>0</v>
      </c>
      <c r="M50" s="3">
        <v>0</v>
      </c>
      <c r="N50" s="3">
        <v>0</v>
      </c>
      <c r="O50" s="3">
        <v>1844.0641373200101</v>
      </c>
      <c r="P50" s="3">
        <v>214.04410953128601</v>
      </c>
      <c r="Q50" s="3">
        <v>0</v>
      </c>
      <c r="R50" s="3">
        <v>0</v>
      </c>
      <c r="S50" s="3">
        <v>0</v>
      </c>
      <c r="T50" s="3">
        <v>0</v>
      </c>
      <c r="U50" s="3">
        <v>1882.5988354799399</v>
      </c>
      <c r="V50" s="3">
        <v>0</v>
      </c>
      <c r="W50" s="3">
        <v>43.376413699613003</v>
      </c>
      <c r="Y50" s="3">
        <f t="shared" si="0"/>
        <v>1844.0641373200101</v>
      </c>
    </row>
    <row r="51" spans="1:25" x14ac:dyDescent="0.2">
      <c r="A51">
        <v>19</v>
      </c>
      <c r="B51">
        <f t="shared" si="1"/>
        <v>2034</v>
      </c>
      <c r="C51">
        <v>6004</v>
      </c>
      <c r="D51" s="3">
        <v>0</v>
      </c>
      <c r="E51" s="3">
        <v>0</v>
      </c>
      <c r="F51" s="3">
        <v>0</v>
      </c>
      <c r="G51" s="3">
        <v>0</v>
      </c>
      <c r="H51" s="3">
        <v>0</v>
      </c>
      <c r="I51" s="3">
        <v>0</v>
      </c>
      <c r="J51" s="3">
        <v>50.772348308295498</v>
      </c>
      <c r="K51" s="3">
        <v>0</v>
      </c>
      <c r="L51" s="3">
        <v>0</v>
      </c>
      <c r="M51" s="3">
        <v>0</v>
      </c>
      <c r="N51" s="3">
        <v>0</v>
      </c>
      <c r="O51" s="3">
        <v>1885.4476589127601</v>
      </c>
      <c r="P51" s="3">
        <v>214.52039361117801</v>
      </c>
      <c r="Q51" s="3">
        <v>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900.01669301409504</v>
      </c>
      <c r="Y51" s="3">
        <f t="shared" si="0"/>
        <v>1885.4476589127601</v>
      </c>
    </row>
    <row r="52" spans="1:25" x14ac:dyDescent="0.2">
      <c r="A52">
        <v>20</v>
      </c>
      <c r="B52">
        <f t="shared" si="1"/>
        <v>2035</v>
      </c>
      <c r="C52">
        <v>6004</v>
      </c>
      <c r="D52" s="3">
        <v>0</v>
      </c>
      <c r="E52" s="3">
        <v>0</v>
      </c>
      <c r="F52" s="3">
        <v>0</v>
      </c>
      <c r="G52" s="3">
        <v>0</v>
      </c>
      <c r="H52" s="3">
        <v>0</v>
      </c>
      <c r="I52" s="3">
        <v>0</v>
      </c>
      <c r="J52" s="3">
        <v>55.510409121006802</v>
      </c>
      <c r="K52" s="3">
        <v>0</v>
      </c>
      <c r="L52" s="3">
        <v>0</v>
      </c>
      <c r="M52" s="3">
        <v>0</v>
      </c>
      <c r="N52" s="3">
        <v>0</v>
      </c>
      <c r="O52" s="3">
        <v>1930.8768028059101</v>
      </c>
      <c r="P52" s="3">
        <v>215.360068689108</v>
      </c>
      <c r="Q52" s="3">
        <v>0</v>
      </c>
      <c r="R52" s="3">
        <v>0</v>
      </c>
      <c r="S52" s="3">
        <v>0</v>
      </c>
      <c r="T52" s="3">
        <v>0</v>
      </c>
      <c r="U52" s="3">
        <v>3195.0361860316102</v>
      </c>
      <c r="V52" s="3">
        <v>0</v>
      </c>
      <c r="W52" s="3">
        <v>2885.8531081052301</v>
      </c>
      <c r="Y52" s="3">
        <f t="shared" si="0"/>
        <v>1930.8768028059101</v>
      </c>
    </row>
    <row r="53" spans="1:25" x14ac:dyDescent="0.2">
      <c r="A53">
        <v>21</v>
      </c>
      <c r="B53">
        <f t="shared" si="1"/>
        <v>2036</v>
      </c>
      <c r="C53">
        <v>6004</v>
      </c>
      <c r="D53" s="3">
        <v>0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60.260973243066204</v>
      </c>
      <c r="K53" s="3">
        <v>0</v>
      </c>
      <c r="L53" s="3">
        <v>0</v>
      </c>
      <c r="M53" s="3">
        <v>0</v>
      </c>
      <c r="N53" s="3">
        <v>0</v>
      </c>
      <c r="O53" s="3">
        <v>1976.6901116807301</v>
      </c>
      <c r="P53" s="3">
        <v>215.83452267161101</v>
      </c>
      <c r="Q53" s="3">
        <v>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839.35181461053298</v>
      </c>
      <c r="Y53" s="3">
        <f t="shared" si="0"/>
        <v>1976.6901116807301</v>
      </c>
    </row>
    <row r="54" spans="1:25" x14ac:dyDescent="0.2">
      <c r="A54">
        <v>22</v>
      </c>
      <c r="B54">
        <f t="shared" si="1"/>
        <v>2037</v>
      </c>
      <c r="C54">
        <v>6004</v>
      </c>
      <c r="D54" s="3">
        <v>0</v>
      </c>
      <c r="E54" s="3">
        <v>0</v>
      </c>
      <c r="F54" s="3">
        <v>0</v>
      </c>
      <c r="G54" s="3">
        <v>0</v>
      </c>
      <c r="H54" s="3">
        <v>0</v>
      </c>
      <c r="I54" s="3">
        <v>0</v>
      </c>
      <c r="J54" s="3">
        <v>66.070045006364495</v>
      </c>
      <c r="K54" s="3">
        <v>0</v>
      </c>
      <c r="L54" s="3">
        <v>0</v>
      </c>
      <c r="M54" s="3">
        <v>0</v>
      </c>
      <c r="N54" s="3">
        <v>0</v>
      </c>
      <c r="O54" s="3">
        <v>2029.2921175752799</v>
      </c>
      <c r="P54" s="3">
        <v>217.15212566007301</v>
      </c>
      <c r="Q54" s="3">
        <v>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845.80154271712001</v>
      </c>
      <c r="Y54" s="3">
        <f t="shared" si="0"/>
        <v>2029.2921175752799</v>
      </c>
    </row>
    <row r="55" spans="1:25" x14ac:dyDescent="0.2">
      <c r="A55">
        <v>23</v>
      </c>
      <c r="B55">
        <f t="shared" si="1"/>
        <v>2038</v>
      </c>
      <c r="C55">
        <v>6004</v>
      </c>
      <c r="D55" s="3">
        <v>0</v>
      </c>
      <c r="E55" s="3">
        <v>0</v>
      </c>
      <c r="F55" s="3">
        <v>0</v>
      </c>
      <c r="G55" s="3">
        <v>0</v>
      </c>
      <c r="H55" s="3">
        <v>0</v>
      </c>
      <c r="I55" s="3">
        <v>0</v>
      </c>
      <c r="J55" s="3">
        <v>62.805433158453198</v>
      </c>
      <c r="K55" s="3">
        <v>0</v>
      </c>
      <c r="L55" s="3">
        <v>0</v>
      </c>
      <c r="M55" s="3">
        <v>0</v>
      </c>
      <c r="N55" s="3">
        <v>0</v>
      </c>
      <c r="O55" s="3">
        <v>2086.8254713134702</v>
      </c>
      <c r="P55" s="3">
        <v>218.85561879463199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912.76458157723403</v>
      </c>
      <c r="Y55" s="3">
        <f t="shared" si="0"/>
        <v>2086.8254713134702</v>
      </c>
    </row>
    <row r="56" spans="1:25" x14ac:dyDescent="0.2">
      <c r="A56">
        <v>24</v>
      </c>
      <c r="B56">
        <f t="shared" si="1"/>
        <v>2039</v>
      </c>
      <c r="C56">
        <v>6004</v>
      </c>
      <c r="D56" s="3">
        <v>0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66.508977788876095</v>
      </c>
      <c r="K56" s="3">
        <v>0</v>
      </c>
      <c r="L56" s="3">
        <v>0</v>
      </c>
      <c r="M56" s="3">
        <v>0</v>
      </c>
      <c r="N56" s="3">
        <v>0</v>
      </c>
      <c r="O56" s="3">
        <v>2145.3900056764501</v>
      </c>
      <c r="P56" s="3">
        <v>220.287202666117</v>
      </c>
      <c r="Q56" s="3">
        <v>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870.27319032590106</v>
      </c>
      <c r="Y56" s="3">
        <f t="shared" si="0"/>
        <v>2145.3900056764501</v>
      </c>
    </row>
    <row r="57" spans="1:25" x14ac:dyDescent="0.2">
      <c r="A57">
        <v>25</v>
      </c>
      <c r="B57">
        <f t="shared" si="1"/>
        <v>2040</v>
      </c>
      <c r="C57">
        <v>6004</v>
      </c>
      <c r="D57" s="3">
        <v>0</v>
      </c>
      <c r="E57" s="3">
        <v>0</v>
      </c>
      <c r="F57" s="3">
        <v>0</v>
      </c>
      <c r="G57" s="3">
        <v>0</v>
      </c>
      <c r="H57" s="3">
        <v>0</v>
      </c>
      <c r="I57" s="3">
        <v>0</v>
      </c>
      <c r="J57" s="3">
        <v>70.1837618307176</v>
      </c>
      <c r="K57" s="3">
        <v>0</v>
      </c>
      <c r="L57" s="3">
        <v>0</v>
      </c>
      <c r="M57" s="3">
        <v>0</v>
      </c>
      <c r="N57" s="3">
        <v>0</v>
      </c>
      <c r="O57" s="3">
        <v>2203.38992763948</v>
      </c>
      <c r="P57" s="3">
        <v>221.27182397101501</v>
      </c>
      <c r="Q57" s="3">
        <v>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2243.6778375317999</v>
      </c>
      <c r="Y57" s="3">
        <f t="shared" si="0"/>
        <v>2203.38992763948</v>
      </c>
    </row>
    <row r="58" spans="1:25" x14ac:dyDescent="0.2">
      <c r="A58">
        <v>26</v>
      </c>
      <c r="B58">
        <f t="shared" si="1"/>
        <v>2041</v>
      </c>
      <c r="C58">
        <v>6004</v>
      </c>
      <c r="D58" s="3">
        <v>0</v>
      </c>
      <c r="E58" s="3">
        <v>0</v>
      </c>
      <c r="F58" s="3">
        <v>0</v>
      </c>
      <c r="G58" s="3">
        <v>0</v>
      </c>
      <c r="H58" s="3">
        <v>0</v>
      </c>
      <c r="I58" s="3">
        <v>0</v>
      </c>
      <c r="J58" s="3">
        <v>73.539144872748395</v>
      </c>
      <c r="K58" s="3">
        <v>0</v>
      </c>
      <c r="L58" s="3">
        <v>0</v>
      </c>
      <c r="M58" s="3">
        <v>0</v>
      </c>
      <c r="N58" s="3">
        <v>0</v>
      </c>
      <c r="O58" s="3">
        <v>2244.5569554013</v>
      </c>
      <c r="P58" s="3">
        <v>219.60546820725301</v>
      </c>
      <c r="Q58" s="3">
        <v>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Y58" s="3">
        <f t="shared" si="0"/>
        <v>2244.5569554013</v>
      </c>
    </row>
    <row r="59" spans="1:25" x14ac:dyDescent="0.2">
      <c r="A59">
        <v>27</v>
      </c>
      <c r="B59">
        <f t="shared" si="1"/>
        <v>2042</v>
      </c>
      <c r="C59">
        <v>6004</v>
      </c>
      <c r="D59" s="3">
        <v>0</v>
      </c>
      <c r="E59" s="3">
        <v>0</v>
      </c>
      <c r="F59" s="3">
        <v>0</v>
      </c>
      <c r="G59" s="3">
        <v>0</v>
      </c>
      <c r="H59" s="3">
        <v>0</v>
      </c>
      <c r="I59" s="3">
        <v>0</v>
      </c>
      <c r="J59" s="3">
        <v>76.242417740004697</v>
      </c>
      <c r="K59" s="3">
        <v>0</v>
      </c>
      <c r="L59" s="3">
        <v>0</v>
      </c>
      <c r="M59" s="3">
        <v>0</v>
      </c>
      <c r="N59" s="3">
        <v>0</v>
      </c>
      <c r="O59" s="3">
        <v>2284.8614331057302</v>
      </c>
      <c r="P59" s="3">
        <v>217.83497669833699</v>
      </c>
      <c r="Q59" s="3">
        <v>0</v>
      </c>
      <c r="R59" s="3">
        <v>0</v>
      </c>
      <c r="S59" s="3">
        <v>0</v>
      </c>
      <c r="T59" s="3">
        <v>0</v>
      </c>
      <c r="U59" s="3">
        <v>636.65418440443602</v>
      </c>
      <c r="V59" s="3">
        <v>0</v>
      </c>
      <c r="W59" s="3">
        <v>144.54370669033301</v>
      </c>
      <c r="Y59" s="3">
        <f t="shared" si="0"/>
        <v>2284.8614331057302</v>
      </c>
    </row>
    <row r="60" spans="1:25" x14ac:dyDescent="0.2">
      <c r="A60">
        <v>28</v>
      </c>
      <c r="B60">
        <f t="shared" si="1"/>
        <v>2043</v>
      </c>
      <c r="C60">
        <v>6004</v>
      </c>
      <c r="D60" s="3">
        <v>0</v>
      </c>
      <c r="E60" s="3">
        <v>0</v>
      </c>
      <c r="F60" s="3">
        <v>0</v>
      </c>
      <c r="G60" s="3">
        <v>0</v>
      </c>
      <c r="H60" s="3">
        <v>0</v>
      </c>
      <c r="I60" s="3">
        <v>0</v>
      </c>
      <c r="J60" s="3">
        <v>79.648712455883896</v>
      </c>
      <c r="K60" s="3">
        <v>0</v>
      </c>
      <c r="L60" s="3">
        <v>0</v>
      </c>
      <c r="M60" s="3">
        <v>0</v>
      </c>
      <c r="N60" s="3">
        <v>0</v>
      </c>
      <c r="O60" s="3">
        <v>2318.3356633257299</v>
      </c>
      <c r="P60" s="3">
        <v>215.197876593769</v>
      </c>
      <c r="Q60" s="3">
        <v>0</v>
      </c>
      <c r="R60" s="3">
        <v>0</v>
      </c>
      <c r="S60" s="3">
        <v>0</v>
      </c>
      <c r="T60" s="3">
        <v>0</v>
      </c>
      <c r="U60" s="3">
        <v>587.25456396979803</v>
      </c>
      <c r="V60" s="3">
        <v>77.867867261255199</v>
      </c>
      <c r="W60" s="3">
        <v>1.4784701174880199</v>
      </c>
      <c r="Y60" s="3">
        <f t="shared" si="0"/>
        <v>2318.3356633257299</v>
      </c>
    </row>
    <row r="61" spans="1:25" x14ac:dyDescent="0.2">
      <c r="A61">
        <v>29</v>
      </c>
      <c r="B61">
        <f t="shared" si="1"/>
        <v>2044</v>
      </c>
      <c r="C61">
        <v>6004</v>
      </c>
      <c r="D61" s="3">
        <v>0</v>
      </c>
      <c r="E61" s="3">
        <v>0</v>
      </c>
      <c r="F61" s="3">
        <v>0</v>
      </c>
      <c r="G61" s="3">
        <v>0</v>
      </c>
      <c r="H61" s="3">
        <v>0</v>
      </c>
      <c r="I61" s="3">
        <v>0</v>
      </c>
      <c r="J61" s="3">
        <v>82.990140711663798</v>
      </c>
      <c r="K61" s="3">
        <v>0</v>
      </c>
      <c r="L61" s="3">
        <v>3570.8950247566099</v>
      </c>
      <c r="M61" s="3">
        <v>0</v>
      </c>
      <c r="N61" s="3">
        <v>0</v>
      </c>
      <c r="O61" s="3">
        <v>2354.93354317693</v>
      </c>
      <c r="P61" s="3">
        <v>213.03350557428701</v>
      </c>
      <c r="Q61" s="3">
        <v>0</v>
      </c>
      <c r="R61" s="3">
        <v>0</v>
      </c>
      <c r="S61" s="3">
        <v>0</v>
      </c>
      <c r="T61" s="3">
        <v>0</v>
      </c>
      <c r="U61" s="3">
        <v>910.56173421629603</v>
      </c>
      <c r="V61" s="3">
        <v>391.45758375650098</v>
      </c>
      <c r="W61" s="3">
        <v>474.02469879748901</v>
      </c>
      <c r="Y61" s="3">
        <f t="shared" si="0"/>
        <v>2354.93354317693</v>
      </c>
    </row>
    <row r="62" spans="1:25" x14ac:dyDescent="0.2">
      <c r="A62">
        <v>30</v>
      </c>
      <c r="B62">
        <f t="shared" si="1"/>
        <v>2045</v>
      </c>
      <c r="C62">
        <v>6004</v>
      </c>
      <c r="D62" s="3">
        <v>0</v>
      </c>
      <c r="E62" s="3">
        <v>0</v>
      </c>
      <c r="F62" s="3">
        <v>0</v>
      </c>
      <c r="G62" s="3">
        <v>0</v>
      </c>
      <c r="H62" s="3">
        <v>0</v>
      </c>
      <c r="I62" s="3">
        <v>0</v>
      </c>
      <c r="J62" s="3">
        <v>86.307932937058894</v>
      </c>
      <c r="K62" s="3">
        <v>0</v>
      </c>
      <c r="L62" s="3">
        <v>0</v>
      </c>
      <c r="M62" s="3">
        <v>0</v>
      </c>
      <c r="N62" s="3">
        <v>0</v>
      </c>
      <c r="O62" s="3">
        <v>2382.6486007415701</v>
      </c>
      <c r="P62" s="3">
        <v>209.846384219394</v>
      </c>
      <c r="Q62" s="3">
        <v>0</v>
      </c>
      <c r="R62" s="3">
        <v>6874.9110685676496</v>
      </c>
      <c r="S62" s="3">
        <v>0</v>
      </c>
      <c r="T62" s="3">
        <v>0</v>
      </c>
      <c r="U62" s="3">
        <v>2272.2881682719899</v>
      </c>
      <c r="V62" s="3">
        <v>300.92279834714901</v>
      </c>
      <c r="W62" s="3">
        <v>1950.01171842503</v>
      </c>
      <c r="Y62" s="3">
        <f t="shared" si="0"/>
        <v>2382.6486007415701</v>
      </c>
    </row>
    <row r="63" spans="1:25" x14ac:dyDescent="0.2">
      <c r="A63">
        <v>31</v>
      </c>
      <c r="B63">
        <f t="shared" si="1"/>
        <v>2046</v>
      </c>
      <c r="C63">
        <v>6004</v>
      </c>
      <c r="D63" s="3">
        <v>0</v>
      </c>
      <c r="E63" s="3">
        <v>0</v>
      </c>
      <c r="F63" s="3">
        <v>0</v>
      </c>
      <c r="G63" s="3">
        <v>0</v>
      </c>
      <c r="H63" s="3">
        <v>0</v>
      </c>
      <c r="I63" s="3">
        <v>0</v>
      </c>
      <c r="J63" s="3">
        <v>104.774662303727</v>
      </c>
      <c r="K63" s="3">
        <v>0</v>
      </c>
      <c r="L63" s="3">
        <v>0</v>
      </c>
      <c r="M63" s="3">
        <v>0</v>
      </c>
      <c r="N63" s="3">
        <v>0</v>
      </c>
      <c r="O63" s="3">
        <v>2400.5316837721102</v>
      </c>
      <c r="P63" s="3">
        <v>205.652032288453</v>
      </c>
      <c r="Q63" s="3">
        <v>0</v>
      </c>
      <c r="R63" s="3">
        <v>0</v>
      </c>
      <c r="S63" s="3">
        <v>0</v>
      </c>
      <c r="T63" s="3">
        <v>0</v>
      </c>
      <c r="U63" s="3">
        <v>615.25692781325597</v>
      </c>
      <c r="V63" s="3">
        <v>427.723366792131</v>
      </c>
      <c r="W63" s="3">
        <v>689.944084154866</v>
      </c>
      <c r="Y63" s="3">
        <f t="shared" si="0"/>
        <v>2400.5316837721102</v>
      </c>
    </row>
    <row r="64" spans="1:25" x14ac:dyDescent="0.2">
      <c r="A64">
        <v>32</v>
      </c>
      <c r="B64">
        <f t="shared" si="1"/>
        <v>2047</v>
      </c>
      <c r="C64">
        <v>6004</v>
      </c>
      <c r="D64" s="3">
        <v>0</v>
      </c>
      <c r="E64" s="3">
        <v>0</v>
      </c>
      <c r="F64" s="3">
        <v>0</v>
      </c>
      <c r="G64" s="3">
        <v>0</v>
      </c>
      <c r="H64" s="3">
        <v>0</v>
      </c>
      <c r="I64" s="3">
        <v>0</v>
      </c>
      <c r="J64" s="3">
        <v>109.743184977073</v>
      </c>
      <c r="K64" s="3">
        <v>0</v>
      </c>
      <c r="L64" s="3">
        <v>0</v>
      </c>
      <c r="M64" s="3">
        <v>0</v>
      </c>
      <c r="N64" s="3">
        <v>0</v>
      </c>
      <c r="O64" s="3">
        <v>2415.9379549988698</v>
      </c>
      <c r="P64" s="3">
        <v>201.37734555818199</v>
      </c>
      <c r="Q64" s="3">
        <v>0</v>
      </c>
      <c r="R64" s="3">
        <v>0</v>
      </c>
      <c r="S64" s="3">
        <v>0</v>
      </c>
      <c r="T64" s="3">
        <v>0</v>
      </c>
      <c r="U64" s="3">
        <v>1365.47058830981</v>
      </c>
      <c r="V64" s="3">
        <v>9.1106445049203195</v>
      </c>
      <c r="W64" s="3">
        <v>529.85665527634501</v>
      </c>
      <c r="Y64" s="3">
        <f t="shared" si="0"/>
        <v>2415.9379549988698</v>
      </c>
    </row>
    <row r="65" spans="1:26" x14ac:dyDescent="0.2">
      <c r="A65">
        <v>33</v>
      </c>
      <c r="B65">
        <f t="shared" si="1"/>
        <v>2048</v>
      </c>
      <c r="C65">
        <v>6004</v>
      </c>
      <c r="D65" s="3">
        <v>0</v>
      </c>
      <c r="E65" s="3">
        <v>0</v>
      </c>
      <c r="F65" s="3">
        <v>0</v>
      </c>
      <c r="G65" s="3">
        <v>0</v>
      </c>
      <c r="H65" s="3">
        <v>0</v>
      </c>
      <c r="I65" s="3">
        <v>0</v>
      </c>
      <c r="J65" s="3">
        <v>117.206066831857</v>
      </c>
      <c r="K65" s="3">
        <v>0</v>
      </c>
      <c r="L65" s="3">
        <v>0</v>
      </c>
      <c r="M65" s="3">
        <v>0</v>
      </c>
      <c r="N65" s="3">
        <v>0</v>
      </c>
      <c r="O65" s="3">
        <v>2430.6250197660502</v>
      </c>
      <c r="P65" s="3">
        <v>197.21335756843601</v>
      </c>
      <c r="Q65" s="3">
        <v>0</v>
      </c>
      <c r="R65" s="3">
        <v>0</v>
      </c>
      <c r="S65" s="3">
        <v>0</v>
      </c>
      <c r="T65" s="3">
        <v>0</v>
      </c>
      <c r="U65" s="3">
        <v>531.49452404812496</v>
      </c>
      <c r="V65" s="3">
        <v>1.3304861436547699</v>
      </c>
      <c r="W65" s="3">
        <v>571.99360430518402</v>
      </c>
      <c r="Y65" s="3">
        <f t="shared" si="0"/>
        <v>2430.6250197660502</v>
      </c>
    </row>
    <row r="66" spans="1:26" x14ac:dyDescent="0.2">
      <c r="A66">
        <v>34</v>
      </c>
      <c r="B66">
        <f t="shared" si="1"/>
        <v>2049</v>
      </c>
      <c r="C66">
        <v>6004</v>
      </c>
      <c r="D66" s="3">
        <v>0</v>
      </c>
      <c r="E66" s="3">
        <v>0</v>
      </c>
      <c r="F66" s="3">
        <v>0</v>
      </c>
      <c r="G66" s="3">
        <v>0</v>
      </c>
      <c r="H66" s="3">
        <v>0</v>
      </c>
      <c r="I66" s="3">
        <v>0</v>
      </c>
      <c r="J66" s="3">
        <v>128.43693590784301</v>
      </c>
      <c r="K66" s="3">
        <v>0</v>
      </c>
      <c r="L66" s="3">
        <v>0</v>
      </c>
      <c r="M66" s="3">
        <v>0</v>
      </c>
      <c r="N66" s="3">
        <v>0</v>
      </c>
      <c r="O66" s="3">
        <v>2452.0769853424999</v>
      </c>
      <c r="P66" s="3">
        <v>193.33330625880799</v>
      </c>
      <c r="Q66" s="3">
        <v>0</v>
      </c>
      <c r="R66" s="3">
        <v>0</v>
      </c>
      <c r="S66" s="3">
        <v>0</v>
      </c>
      <c r="T66" s="3">
        <v>0</v>
      </c>
      <c r="U66" s="3">
        <v>827.00597685788898</v>
      </c>
      <c r="V66" s="3">
        <v>0</v>
      </c>
      <c r="W66" s="3">
        <v>1377.81653639043</v>
      </c>
      <c r="Y66" s="3">
        <f t="shared" si="0"/>
        <v>2452.0769853424999</v>
      </c>
    </row>
    <row r="67" spans="1:26" x14ac:dyDescent="0.2">
      <c r="A67">
        <v>35</v>
      </c>
      <c r="B67">
        <f t="shared" si="1"/>
        <v>2050</v>
      </c>
      <c r="C67">
        <v>6004</v>
      </c>
      <c r="D67" s="3">
        <v>0</v>
      </c>
      <c r="E67" s="3">
        <v>0</v>
      </c>
      <c r="F67" s="3">
        <v>0</v>
      </c>
      <c r="G67" s="3">
        <v>0</v>
      </c>
      <c r="H67" s="3">
        <v>0</v>
      </c>
      <c r="I67" s="3">
        <v>0</v>
      </c>
      <c r="J67" s="3">
        <v>135.44617429215</v>
      </c>
      <c r="K67" s="3">
        <v>0</v>
      </c>
      <c r="L67" s="3">
        <v>0</v>
      </c>
      <c r="M67" s="3">
        <v>0</v>
      </c>
      <c r="N67" s="3">
        <v>0</v>
      </c>
      <c r="O67" s="3">
        <v>2455.72650092808</v>
      </c>
      <c r="P67" s="3">
        <v>189.50453757065301</v>
      </c>
      <c r="Q67" s="3">
        <v>0</v>
      </c>
      <c r="R67" s="3">
        <v>0</v>
      </c>
      <c r="S67" s="3">
        <v>0</v>
      </c>
      <c r="T67" s="3">
        <v>0</v>
      </c>
      <c r="U67" s="3">
        <v>537.60794548767001</v>
      </c>
      <c r="V67" s="3">
        <v>0</v>
      </c>
      <c r="W67" s="3">
        <v>1574.2292163249499</v>
      </c>
      <c r="Y67" s="3">
        <f t="shared" ref="Y67:Y77" si="2">+SUM(N67:O67)</f>
        <v>2455.72650092808</v>
      </c>
    </row>
    <row r="68" spans="1:26" x14ac:dyDescent="0.2">
      <c r="A68">
        <v>36</v>
      </c>
      <c r="B68">
        <f t="shared" si="1"/>
        <v>2051</v>
      </c>
      <c r="C68">
        <v>6004</v>
      </c>
      <c r="D68" s="3">
        <v>0</v>
      </c>
      <c r="E68" s="3">
        <v>0</v>
      </c>
      <c r="F68" s="3">
        <v>0</v>
      </c>
      <c r="G68" s="3">
        <v>0</v>
      </c>
      <c r="H68" s="3">
        <v>0</v>
      </c>
      <c r="I68" s="3">
        <v>0</v>
      </c>
      <c r="J68" s="3">
        <v>139.339839590385</v>
      </c>
      <c r="K68" s="3">
        <v>0</v>
      </c>
      <c r="L68" s="3">
        <v>0</v>
      </c>
      <c r="M68" s="3">
        <v>0</v>
      </c>
      <c r="N68" s="3">
        <v>0</v>
      </c>
      <c r="O68" s="3">
        <v>4430.9905649106104</v>
      </c>
      <c r="P68" s="3">
        <v>194.586005775281</v>
      </c>
      <c r="Q68" s="3">
        <v>0</v>
      </c>
      <c r="R68" s="3">
        <v>0</v>
      </c>
      <c r="S68" s="3">
        <v>0</v>
      </c>
      <c r="T68" s="3">
        <v>0</v>
      </c>
      <c r="U68" s="3">
        <v>432.91432511782801</v>
      </c>
      <c r="V68" s="3">
        <v>0</v>
      </c>
      <c r="W68" s="3">
        <v>1821.0465686452301</v>
      </c>
      <c r="Y68" s="3">
        <f t="shared" si="2"/>
        <v>4430.9905649106104</v>
      </c>
    </row>
    <row r="69" spans="1:26" x14ac:dyDescent="0.2">
      <c r="A69">
        <v>37</v>
      </c>
      <c r="B69">
        <f t="shared" si="1"/>
        <v>2052</v>
      </c>
      <c r="C69">
        <v>6004</v>
      </c>
      <c r="D69" s="3">
        <v>0</v>
      </c>
      <c r="E69" s="3">
        <v>0</v>
      </c>
      <c r="F69" s="3">
        <v>0</v>
      </c>
      <c r="G69" s="3">
        <v>0</v>
      </c>
      <c r="H69" s="3">
        <v>0</v>
      </c>
      <c r="I69" s="3">
        <v>0</v>
      </c>
      <c r="J69" s="3">
        <v>146.27104696905801</v>
      </c>
      <c r="K69" s="3">
        <v>0</v>
      </c>
      <c r="L69" s="3">
        <v>0</v>
      </c>
      <c r="M69" s="3">
        <v>0</v>
      </c>
      <c r="N69" s="3">
        <v>0</v>
      </c>
      <c r="O69" s="3">
        <v>4406.8746342140403</v>
      </c>
      <c r="P69" s="3">
        <v>191.80368983914701</v>
      </c>
      <c r="Q69" s="3">
        <v>0</v>
      </c>
      <c r="R69" s="3">
        <v>0</v>
      </c>
      <c r="S69" s="3">
        <v>0</v>
      </c>
      <c r="T69" s="3">
        <v>0</v>
      </c>
      <c r="U69" s="3">
        <v>1588.8712974903999</v>
      </c>
      <c r="V69" s="3">
        <v>0</v>
      </c>
      <c r="W69" s="3">
        <v>2702.5247467904901</v>
      </c>
      <c r="Y69" s="3">
        <f t="shared" si="2"/>
        <v>4406.8746342140403</v>
      </c>
    </row>
    <row r="70" spans="1:26" x14ac:dyDescent="0.2">
      <c r="A70">
        <v>38</v>
      </c>
      <c r="B70">
        <f t="shared" si="1"/>
        <v>2053</v>
      </c>
      <c r="C70">
        <v>6004</v>
      </c>
      <c r="D70" s="3">
        <v>0</v>
      </c>
      <c r="E70" s="3">
        <v>0</v>
      </c>
      <c r="F70" s="3">
        <v>0</v>
      </c>
      <c r="G70" s="3">
        <v>0</v>
      </c>
      <c r="H70" s="3">
        <v>0</v>
      </c>
      <c r="I70" s="3">
        <v>0</v>
      </c>
      <c r="J70" s="3">
        <v>153.22197781660799</v>
      </c>
      <c r="K70" s="3">
        <v>0</v>
      </c>
      <c r="L70" s="3">
        <v>0</v>
      </c>
      <c r="M70" s="3">
        <v>0</v>
      </c>
      <c r="N70" s="3">
        <v>0</v>
      </c>
      <c r="O70" s="3">
        <v>4743.7065280158904</v>
      </c>
      <c r="P70" s="3">
        <v>269.98765881650297</v>
      </c>
      <c r="Q70" s="3">
        <v>0</v>
      </c>
      <c r="R70" s="3">
        <v>0</v>
      </c>
      <c r="S70" s="3">
        <v>0</v>
      </c>
      <c r="T70" s="3">
        <v>0</v>
      </c>
      <c r="U70" s="3">
        <v>427.74503814850902</v>
      </c>
      <c r="V70" s="3">
        <v>0</v>
      </c>
      <c r="W70" s="3">
        <v>6581.90714996102</v>
      </c>
      <c r="Y70" s="3">
        <f t="shared" si="2"/>
        <v>4743.7065280158904</v>
      </c>
    </row>
    <row r="71" spans="1:26" x14ac:dyDescent="0.2">
      <c r="A71">
        <v>39</v>
      </c>
      <c r="B71">
        <f t="shared" si="1"/>
        <v>2054</v>
      </c>
      <c r="C71">
        <v>6004</v>
      </c>
      <c r="D71" s="3">
        <v>0</v>
      </c>
      <c r="E71" s="3">
        <v>0</v>
      </c>
      <c r="F71" s="3">
        <v>0</v>
      </c>
      <c r="G71" s="3">
        <v>0</v>
      </c>
      <c r="H71" s="3">
        <v>0</v>
      </c>
      <c r="I71" s="3">
        <v>0</v>
      </c>
      <c r="J71" s="3">
        <v>160.33129224112</v>
      </c>
      <c r="K71" s="3">
        <v>0</v>
      </c>
      <c r="L71" s="3">
        <v>0</v>
      </c>
      <c r="M71" s="3">
        <v>0</v>
      </c>
      <c r="N71" s="3">
        <v>0</v>
      </c>
      <c r="O71" s="3">
        <v>3292.8036095521202</v>
      </c>
      <c r="P71" s="3">
        <v>100.272132664938</v>
      </c>
      <c r="Q71" s="3">
        <v>0</v>
      </c>
      <c r="R71" s="3">
        <v>0</v>
      </c>
      <c r="S71" s="3">
        <v>0</v>
      </c>
      <c r="T71" s="3">
        <v>0</v>
      </c>
      <c r="U71" s="3">
        <v>1545.4188042254</v>
      </c>
      <c r="V71" s="3">
        <v>0</v>
      </c>
      <c r="W71" s="3">
        <v>0</v>
      </c>
      <c r="Y71" s="3">
        <f t="shared" si="2"/>
        <v>3292.8036095521202</v>
      </c>
    </row>
    <row r="72" spans="1:26" x14ac:dyDescent="0.2">
      <c r="A72">
        <v>40</v>
      </c>
      <c r="B72">
        <f t="shared" si="1"/>
        <v>2055</v>
      </c>
      <c r="C72">
        <v>6004</v>
      </c>
      <c r="D72" s="3">
        <v>0</v>
      </c>
      <c r="E72" s="3">
        <v>0</v>
      </c>
      <c r="F72" s="3">
        <v>0</v>
      </c>
      <c r="G72" s="3">
        <v>0</v>
      </c>
      <c r="H72" s="3">
        <v>0</v>
      </c>
      <c r="I72" s="3">
        <v>0</v>
      </c>
      <c r="J72" s="3">
        <v>306.521096409123</v>
      </c>
      <c r="K72" s="3">
        <v>0</v>
      </c>
      <c r="L72" s="3">
        <v>0</v>
      </c>
      <c r="M72" s="3">
        <v>0</v>
      </c>
      <c r="N72" s="3">
        <v>0</v>
      </c>
      <c r="O72" s="3">
        <v>8645.7984125228195</v>
      </c>
      <c r="P72" s="3">
        <v>579.53476184465103</v>
      </c>
      <c r="Q72" s="3">
        <v>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Y72" s="3">
        <f t="shared" si="2"/>
        <v>8645.7984125228195</v>
      </c>
    </row>
    <row r="73" spans="1:26" x14ac:dyDescent="0.2">
      <c r="A73">
        <v>41</v>
      </c>
      <c r="B73">
        <f t="shared" si="1"/>
        <v>2056</v>
      </c>
      <c r="C73">
        <v>6004</v>
      </c>
      <c r="D73" s="3">
        <v>0</v>
      </c>
      <c r="E73" s="3">
        <v>0</v>
      </c>
      <c r="F73" s="3">
        <v>0</v>
      </c>
      <c r="G73" s="3">
        <v>0</v>
      </c>
      <c r="H73" s="3">
        <v>0</v>
      </c>
      <c r="I73" s="3">
        <v>0</v>
      </c>
      <c r="J73" s="3">
        <v>182.09204412197101</v>
      </c>
      <c r="K73" s="3">
        <v>0</v>
      </c>
      <c r="L73" s="3">
        <v>0</v>
      </c>
      <c r="M73" s="3">
        <v>0</v>
      </c>
      <c r="N73" s="3">
        <v>0</v>
      </c>
      <c r="O73" s="3">
        <v>3000.5253778443798</v>
      </c>
      <c r="P73" s="3">
        <v>228.368384452496</v>
      </c>
      <c r="Q73" s="3">
        <v>0</v>
      </c>
      <c r="R73" s="3">
        <v>0</v>
      </c>
      <c r="S73" s="3">
        <v>0</v>
      </c>
      <c r="T73" s="3">
        <v>0</v>
      </c>
      <c r="U73" s="3">
        <v>1260.9664691425301</v>
      </c>
      <c r="V73" s="3">
        <v>0</v>
      </c>
      <c r="W73" s="3">
        <v>0</v>
      </c>
      <c r="Y73" s="3">
        <f t="shared" si="2"/>
        <v>3000.5253778443798</v>
      </c>
    </row>
    <row r="74" spans="1:26" x14ac:dyDescent="0.2">
      <c r="A74">
        <v>42</v>
      </c>
      <c r="B74">
        <f t="shared" si="1"/>
        <v>2057</v>
      </c>
      <c r="C74">
        <v>6004</v>
      </c>
      <c r="D74" s="3">
        <v>0</v>
      </c>
      <c r="E74" s="3">
        <v>0</v>
      </c>
      <c r="F74" s="3">
        <v>0</v>
      </c>
      <c r="G74" s="3">
        <v>0</v>
      </c>
      <c r="H74" s="3">
        <v>0</v>
      </c>
      <c r="I74" s="3">
        <v>0</v>
      </c>
      <c r="J74" s="3">
        <v>190.49386746050101</v>
      </c>
      <c r="K74" s="3">
        <v>0</v>
      </c>
      <c r="L74" s="3">
        <v>0</v>
      </c>
      <c r="M74" s="3">
        <v>0</v>
      </c>
      <c r="N74" s="3">
        <v>0</v>
      </c>
      <c r="O74" s="3">
        <v>2858.62933928038</v>
      </c>
      <c r="P74" s="3">
        <v>678.47494541616504</v>
      </c>
      <c r="Q74" s="3">
        <v>0</v>
      </c>
      <c r="R74" s="3">
        <v>0</v>
      </c>
      <c r="S74" s="3">
        <v>0</v>
      </c>
      <c r="T74" s="3">
        <v>0</v>
      </c>
      <c r="U74" s="3">
        <v>631.62651862520897</v>
      </c>
      <c r="V74" s="3">
        <v>0</v>
      </c>
      <c r="W74" s="3">
        <v>0</v>
      </c>
      <c r="Y74" s="3">
        <f t="shared" si="2"/>
        <v>2858.62933928038</v>
      </c>
    </row>
    <row r="75" spans="1:26" x14ac:dyDescent="0.2">
      <c r="A75">
        <v>43</v>
      </c>
      <c r="B75">
        <f t="shared" si="1"/>
        <v>2058</v>
      </c>
      <c r="C75">
        <v>6004</v>
      </c>
      <c r="D75" s="3">
        <v>0</v>
      </c>
      <c r="E75" s="3">
        <v>0</v>
      </c>
      <c r="F75" s="3">
        <v>0</v>
      </c>
      <c r="G75" s="3">
        <v>0</v>
      </c>
      <c r="H75" s="3">
        <v>0</v>
      </c>
      <c r="I75" s="3">
        <v>0</v>
      </c>
      <c r="J75" s="3">
        <v>215.58347022356801</v>
      </c>
      <c r="K75" s="3">
        <v>0</v>
      </c>
      <c r="L75" s="3">
        <v>0</v>
      </c>
      <c r="M75" s="3">
        <v>0</v>
      </c>
      <c r="N75" s="3">
        <v>0</v>
      </c>
      <c r="O75" s="3">
        <v>2626.3072309480699</v>
      </c>
      <c r="P75" s="3">
        <v>1721.6810444688199</v>
      </c>
      <c r="Q75" s="3">
        <v>0</v>
      </c>
      <c r="R75" s="3">
        <v>0</v>
      </c>
      <c r="S75" s="3">
        <v>0</v>
      </c>
      <c r="T75" s="3">
        <v>0</v>
      </c>
      <c r="U75" s="3">
        <v>2489.6774923226099</v>
      </c>
      <c r="V75" s="3">
        <v>0</v>
      </c>
      <c r="W75" s="3">
        <v>0</v>
      </c>
      <c r="Y75" s="3">
        <f t="shared" si="2"/>
        <v>2626.3072309480699</v>
      </c>
    </row>
    <row r="76" spans="1:26" x14ac:dyDescent="0.2">
      <c r="A76">
        <v>44</v>
      </c>
      <c r="B76">
        <f t="shared" si="1"/>
        <v>2059</v>
      </c>
      <c r="C76">
        <v>6004</v>
      </c>
      <c r="D76" s="3">
        <v>0</v>
      </c>
      <c r="E76" s="3">
        <v>0</v>
      </c>
      <c r="F76" s="3">
        <v>0</v>
      </c>
      <c r="G76" s="3">
        <v>0</v>
      </c>
      <c r="H76" s="3">
        <v>0</v>
      </c>
      <c r="I76" s="3">
        <v>0</v>
      </c>
      <c r="J76" s="3">
        <v>0</v>
      </c>
      <c r="K76" s="3">
        <v>0</v>
      </c>
      <c r="L76" s="3">
        <v>0</v>
      </c>
      <c r="M76" s="3">
        <v>0</v>
      </c>
      <c r="N76" s="3">
        <v>0</v>
      </c>
      <c r="O76" s="3">
        <v>3583.58617503503</v>
      </c>
      <c r="P76" s="3">
        <v>680.92275587449899</v>
      </c>
      <c r="Q76" s="3">
        <v>0</v>
      </c>
      <c r="R76" s="3">
        <v>0</v>
      </c>
      <c r="S76" s="3">
        <v>0</v>
      </c>
      <c r="T76" s="3">
        <v>0</v>
      </c>
      <c r="U76" s="3">
        <v>1411.42650140211</v>
      </c>
      <c r="V76" s="3">
        <v>0</v>
      </c>
      <c r="W76" s="3">
        <v>0</v>
      </c>
      <c r="Y76" s="3">
        <f t="shared" si="2"/>
        <v>3583.58617503503</v>
      </c>
    </row>
    <row r="77" spans="1:26" x14ac:dyDescent="0.2">
      <c r="A77">
        <v>45</v>
      </c>
      <c r="B77">
        <f t="shared" si="1"/>
        <v>2060</v>
      </c>
      <c r="C77">
        <v>6004</v>
      </c>
      <c r="D77" s="3">
        <v>0</v>
      </c>
      <c r="E77" s="3">
        <v>0</v>
      </c>
      <c r="F77" s="3">
        <v>0</v>
      </c>
      <c r="G77" s="3">
        <v>0</v>
      </c>
      <c r="H77" s="3">
        <v>0</v>
      </c>
      <c r="I77" s="3">
        <v>0</v>
      </c>
      <c r="J77" s="3">
        <v>194.64625032109899</v>
      </c>
      <c r="K77" s="3">
        <v>0</v>
      </c>
      <c r="L77" s="3">
        <v>0</v>
      </c>
      <c r="M77" s="3">
        <v>0</v>
      </c>
      <c r="N77" s="3">
        <v>0</v>
      </c>
      <c r="O77" s="3">
        <v>43588.354409019899</v>
      </c>
      <c r="P77" s="3">
        <v>2470.2705768536998</v>
      </c>
      <c r="Q77" s="3">
        <v>0</v>
      </c>
      <c r="R77" s="3">
        <v>0</v>
      </c>
      <c r="S77" s="3">
        <v>0</v>
      </c>
      <c r="T77" s="3">
        <v>0</v>
      </c>
      <c r="U77" s="3">
        <v>8711.6226963420195</v>
      </c>
      <c r="V77" s="3">
        <v>0</v>
      </c>
      <c r="W77" s="3">
        <v>0</v>
      </c>
      <c r="Y77" s="3">
        <f t="shared" si="2"/>
        <v>43588.354409019899</v>
      </c>
      <c r="Z77" s="3">
        <f>+SUM(Y40:Y77)</f>
        <v>133036.44953954991</v>
      </c>
    </row>
    <row r="79" spans="1:26" x14ac:dyDescent="0.2">
      <c r="A79">
        <v>8</v>
      </c>
      <c r="B79">
        <f t="shared" si="1"/>
        <v>2023</v>
      </c>
      <c r="C79">
        <v>6004</v>
      </c>
      <c r="D79" s="3">
        <f>+D40-D2</f>
        <v>0</v>
      </c>
      <c r="E79" s="3">
        <f t="shared" ref="E79:W79" si="3">+E40-E2</f>
        <v>0</v>
      </c>
      <c r="F79" s="3">
        <f t="shared" si="3"/>
        <v>0</v>
      </c>
      <c r="G79" s="3">
        <f t="shared" si="3"/>
        <v>0</v>
      </c>
      <c r="H79" s="3">
        <f t="shared" si="3"/>
        <v>0</v>
      </c>
      <c r="I79" s="3">
        <f t="shared" si="3"/>
        <v>0</v>
      </c>
      <c r="J79" s="3">
        <f t="shared" si="3"/>
        <v>3.5615053575628906E-2</v>
      </c>
      <c r="K79" s="3">
        <f t="shared" si="3"/>
        <v>0</v>
      </c>
      <c r="L79" s="3">
        <f t="shared" si="3"/>
        <v>0</v>
      </c>
      <c r="M79" s="3">
        <f t="shared" si="3"/>
        <v>0</v>
      </c>
      <c r="N79" s="3">
        <f t="shared" si="3"/>
        <v>0</v>
      </c>
      <c r="O79" s="3">
        <f t="shared" si="3"/>
        <v>0</v>
      </c>
      <c r="P79" s="3">
        <f t="shared" si="3"/>
        <v>0</v>
      </c>
      <c r="Q79" s="3">
        <f t="shared" si="3"/>
        <v>0</v>
      </c>
      <c r="R79" s="3">
        <f t="shared" si="3"/>
        <v>0</v>
      </c>
      <c r="S79" s="3">
        <f t="shared" si="3"/>
        <v>0</v>
      </c>
      <c r="T79" s="3">
        <f t="shared" si="3"/>
        <v>0</v>
      </c>
      <c r="U79" s="3">
        <f t="shared" si="3"/>
        <v>0</v>
      </c>
      <c r="V79" s="3">
        <f t="shared" si="3"/>
        <v>0.53226954274190064</v>
      </c>
      <c r="W79" s="3">
        <f t="shared" si="3"/>
        <v>0</v>
      </c>
      <c r="Y79" s="2" cm="1">
        <f t="array" ref="Y79">+SUM(D79:W79*1000000)/1000000000</f>
        <v>5.6788459631752959E-4</v>
      </c>
    </row>
    <row r="80" spans="1:26" x14ac:dyDescent="0.2">
      <c r="A80">
        <v>9</v>
      </c>
      <c r="B80">
        <f t="shared" si="1"/>
        <v>2024</v>
      </c>
      <c r="C80">
        <v>6004</v>
      </c>
      <c r="D80" s="3">
        <f t="shared" ref="D80:W80" si="4">+D41-D3</f>
        <v>0</v>
      </c>
      <c r="E80" s="3">
        <f t="shared" si="4"/>
        <v>0</v>
      </c>
      <c r="F80" s="3">
        <f t="shared" si="4"/>
        <v>0</v>
      </c>
      <c r="G80" s="3">
        <f t="shared" si="4"/>
        <v>0</v>
      </c>
      <c r="H80" s="3">
        <f t="shared" si="4"/>
        <v>0</v>
      </c>
      <c r="I80" s="3">
        <f t="shared" si="4"/>
        <v>0</v>
      </c>
      <c r="J80" s="3">
        <f t="shared" si="4"/>
        <v>3.63736632957199E-2</v>
      </c>
      <c r="K80" s="3">
        <f t="shared" si="4"/>
        <v>0</v>
      </c>
      <c r="L80" s="3">
        <f t="shared" si="4"/>
        <v>0</v>
      </c>
      <c r="M80" s="3">
        <f t="shared" si="4"/>
        <v>0</v>
      </c>
      <c r="N80" s="3">
        <f t="shared" si="4"/>
        <v>0</v>
      </c>
      <c r="O80" s="3">
        <f t="shared" si="4"/>
        <v>0</v>
      </c>
      <c r="P80" s="3">
        <f t="shared" si="4"/>
        <v>0</v>
      </c>
      <c r="Q80" s="3">
        <f t="shared" si="4"/>
        <v>0</v>
      </c>
      <c r="R80" s="3">
        <f t="shared" si="4"/>
        <v>0</v>
      </c>
      <c r="S80" s="3">
        <f t="shared" si="4"/>
        <v>0</v>
      </c>
      <c r="T80" s="3">
        <f t="shared" si="4"/>
        <v>0</v>
      </c>
      <c r="U80" s="3">
        <f t="shared" si="4"/>
        <v>89.076992704345002</v>
      </c>
      <c r="V80" s="3">
        <f t="shared" si="4"/>
        <v>0.54416140377259836</v>
      </c>
      <c r="W80" s="3">
        <f t="shared" si="4"/>
        <v>0</v>
      </c>
      <c r="Y80" s="2" cm="1">
        <f t="array" ref="Y80">+SUM(D80:W80*1000000)/1000000000</f>
        <v>8.9657527771413309E-2</v>
      </c>
    </row>
    <row r="81" spans="1:25" x14ac:dyDescent="0.2">
      <c r="A81">
        <v>10</v>
      </c>
      <c r="B81">
        <f t="shared" si="1"/>
        <v>2025</v>
      </c>
      <c r="C81">
        <v>6004</v>
      </c>
      <c r="D81" s="3">
        <f t="shared" ref="D81:W81" si="5">+D42-D4</f>
        <v>0</v>
      </c>
      <c r="E81" s="3">
        <f t="shared" si="5"/>
        <v>0</v>
      </c>
      <c r="F81" s="3">
        <f t="shared" si="5"/>
        <v>0</v>
      </c>
      <c r="G81" s="3">
        <f t="shared" si="5"/>
        <v>0</v>
      </c>
      <c r="H81" s="3">
        <f t="shared" si="5"/>
        <v>0</v>
      </c>
      <c r="I81" s="3">
        <f t="shared" si="5"/>
        <v>0</v>
      </c>
      <c r="J81" s="3">
        <f t="shared" si="5"/>
        <v>3.6849325856832094E-2</v>
      </c>
      <c r="K81" s="3">
        <f t="shared" si="5"/>
        <v>0</v>
      </c>
      <c r="L81" s="3">
        <f t="shared" si="5"/>
        <v>0</v>
      </c>
      <c r="M81" s="3">
        <f t="shared" si="5"/>
        <v>0</v>
      </c>
      <c r="N81" s="3">
        <f t="shared" si="5"/>
        <v>0</v>
      </c>
      <c r="O81" s="3">
        <f t="shared" si="5"/>
        <v>0</v>
      </c>
      <c r="P81" s="3">
        <f t="shared" si="5"/>
        <v>0</v>
      </c>
      <c r="Q81" s="3">
        <f t="shared" si="5"/>
        <v>0</v>
      </c>
      <c r="R81" s="3">
        <f t="shared" si="5"/>
        <v>0</v>
      </c>
      <c r="S81" s="3">
        <f t="shared" si="5"/>
        <v>0</v>
      </c>
      <c r="T81" s="3">
        <f t="shared" si="5"/>
        <v>0</v>
      </c>
      <c r="U81" s="3">
        <f t="shared" si="5"/>
        <v>43.161292251048607</v>
      </c>
      <c r="V81" s="3">
        <f t="shared" si="5"/>
        <v>0.55214437892709967</v>
      </c>
      <c r="W81" s="3">
        <f t="shared" si="5"/>
        <v>0</v>
      </c>
      <c r="Y81" s="2" cm="1">
        <f t="array" ref="Y81">+SUM(D81:W81*1000000)/1000000000</f>
        <v>4.3750285955832538E-2</v>
      </c>
    </row>
    <row r="82" spans="1:25" x14ac:dyDescent="0.2">
      <c r="A82">
        <v>11</v>
      </c>
      <c r="B82">
        <f t="shared" si="1"/>
        <v>2026</v>
      </c>
      <c r="C82">
        <v>6004</v>
      </c>
      <c r="D82" s="3">
        <f t="shared" ref="D82:W82" si="6">+D43-D5</f>
        <v>0</v>
      </c>
      <c r="E82" s="3">
        <f t="shared" si="6"/>
        <v>0</v>
      </c>
      <c r="F82" s="3">
        <f t="shared" si="6"/>
        <v>0</v>
      </c>
      <c r="G82" s="3">
        <f t="shared" si="6"/>
        <v>0</v>
      </c>
      <c r="H82" s="3">
        <f t="shared" si="6"/>
        <v>0</v>
      </c>
      <c r="I82" s="3">
        <f t="shared" si="6"/>
        <v>0</v>
      </c>
      <c r="J82" s="3">
        <f t="shared" si="6"/>
        <v>11.978350703501921</v>
      </c>
      <c r="K82" s="3">
        <f t="shared" si="6"/>
        <v>0</v>
      </c>
      <c r="L82" s="3">
        <f t="shared" si="6"/>
        <v>0</v>
      </c>
      <c r="M82" s="3">
        <f t="shared" si="6"/>
        <v>0</v>
      </c>
      <c r="N82" s="3">
        <f t="shared" si="6"/>
        <v>0</v>
      </c>
      <c r="O82" s="3">
        <f t="shared" si="6"/>
        <v>1647.60486291287</v>
      </c>
      <c r="P82" s="3">
        <f t="shared" si="6"/>
        <v>-174.46890718548732</v>
      </c>
      <c r="Q82" s="3">
        <f t="shared" si="6"/>
        <v>0</v>
      </c>
      <c r="R82" s="3">
        <f t="shared" si="6"/>
        <v>0</v>
      </c>
      <c r="S82" s="3">
        <f t="shared" si="6"/>
        <v>0</v>
      </c>
      <c r="T82" s="3">
        <f t="shared" si="6"/>
        <v>0</v>
      </c>
      <c r="U82" s="3">
        <f t="shared" si="6"/>
        <v>1047.3012200484648</v>
      </c>
      <c r="V82" s="3">
        <f t="shared" si="6"/>
        <v>0</v>
      </c>
      <c r="W82" s="3">
        <f t="shared" si="6"/>
        <v>929.64928152752395</v>
      </c>
      <c r="Y82" s="2" cm="1">
        <f t="array" ref="Y82">+SUM(D82:W82*1000000)/1000000000</f>
        <v>3.4620648080068732</v>
      </c>
    </row>
    <row r="83" spans="1:25" x14ac:dyDescent="0.2">
      <c r="A83">
        <v>12</v>
      </c>
      <c r="B83">
        <f t="shared" si="1"/>
        <v>2027</v>
      </c>
      <c r="C83">
        <v>6004</v>
      </c>
      <c r="D83" s="3">
        <f t="shared" ref="D83:W83" si="7">+D44-D6</f>
        <v>0</v>
      </c>
      <c r="E83" s="3">
        <f t="shared" si="7"/>
        <v>0</v>
      </c>
      <c r="F83" s="3">
        <f t="shared" si="7"/>
        <v>0</v>
      </c>
      <c r="G83" s="3">
        <f t="shared" si="7"/>
        <v>0</v>
      </c>
      <c r="H83" s="3">
        <f t="shared" si="7"/>
        <v>0</v>
      </c>
      <c r="I83" s="3">
        <f t="shared" si="7"/>
        <v>0</v>
      </c>
      <c r="J83" s="3">
        <f t="shared" si="7"/>
        <v>13.725090986390461</v>
      </c>
      <c r="K83" s="3">
        <f t="shared" si="7"/>
        <v>0</v>
      </c>
      <c r="L83" s="3">
        <f t="shared" si="7"/>
        <v>0</v>
      </c>
      <c r="M83" s="3">
        <f t="shared" si="7"/>
        <v>0</v>
      </c>
      <c r="N83" s="3">
        <f t="shared" si="7"/>
        <v>0</v>
      </c>
      <c r="O83" s="3">
        <f t="shared" si="7"/>
        <v>1664.9945963278899</v>
      </c>
      <c r="P83" s="3">
        <f t="shared" si="7"/>
        <v>621.05880962638798</v>
      </c>
      <c r="Q83" s="3">
        <f t="shared" si="7"/>
        <v>0</v>
      </c>
      <c r="R83" s="3">
        <f t="shared" si="7"/>
        <v>0</v>
      </c>
      <c r="S83" s="3">
        <f t="shared" si="7"/>
        <v>0</v>
      </c>
      <c r="T83" s="3">
        <f t="shared" si="7"/>
        <v>0</v>
      </c>
      <c r="U83" s="3">
        <f t="shared" si="7"/>
        <v>0</v>
      </c>
      <c r="V83" s="3">
        <f t="shared" si="7"/>
        <v>0</v>
      </c>
      <c r="W83" s="3">
        <f t="shared" si="7"/>
        <v>365.951585072341</v>
      </c>
      <c r="Y83" s="2" cm="1">
        <f t="array" ref="Y83">+SUM(D83:W83*1000000)/1000000000</f>
        <v>2.6657300820130092</v>
      </c>
    </row>
    <row r="84" spans="1:25" x14ac:dyDescent="0.2">
      <c r="A84">
        <v>13</v>
      </c>
      <c r="B84">
        <f t="shared" si="1"/>
        <v>2028</v>
      </c>
      <c r="C84">
        <v>6004</v>
      </c>
      <c r="D84" s="3">
        <f t="shared" ref="D84:W84" si="8">+D45-D7</f>
        <v>0</v>
      </c>
      <c r="E84" s="3">
        <f t="shared" si="8"/>
        <v>0</v>
      </c>
      <c r="F84" s="3">
        <f t="shared" si="8"/>
        <v>0</v>
      </c>
      <c r="G84" s="3">
        <f t="shared" si="8"/>
        <v>0</v>
      </c>
      <c r="H84" s="3">
        <f t="shared" si="8"/>
        <v>0</v>
      </c>
      <c r="I84" s="3">
        <f t="shared" si="8"/>
        <v>0</v>
      </c>
      <c r="J84" s="3">
        <f t="shared" si="8"/>
        <v>17.946671755186031</v>
      </c>
      <c r="K84" s="3">
        <f t="shared" si="8"/>
        <v>0</v>
      </c>
      <c r="L84" s="3">
        <f t="shared" si="8"/>
        <v>0</v>
      </c>
      <c r="M84" s="3">
        <f t="shared" si="8"/>
        <v>0</v>
      </c>
      <c r="N84" s="3">
        <f t="shared" si="8"/>
        <v>-749.90590470828704</v>
      </c>
      <c r="O84" s="3">
        <f t="shared" si="8"/>
        <v>1683.97551860414</v>
      </c>
      <c r="P84" s="3">
        <f t="shared" si="8"/>
        <v>210.13087890730003</v>
      </c>
      <c r="Q84" s="3">
        <f t="shared" si="8"/>
        <v>0</v>
      </c>
      <c r="R84" s="3">
        <f t="shared" si="8"/>
        <v>0</v>
      </c>
      <c r="S84" s="3">
        <f t="shared" si="8"/>
        <v>0</v>
      </c>
      <c r="T84" s="3">
        <f t="shared" si="8"/>
        <v>0</v>
      </c>
      <c r="U84" s="3">
        <f t="shared" si="8"/>
        <v>2792.0904201634507</v>
      </c>
      <c r="V84" s="3">
        <f t="shared" si="8"/>
        <v>0</v>
      </c>
      <c r="W84" s="3">
        <f t="shared" si="8"/>
        <v>-519.44951804797097</v>
      </c>
      <c r="Y84" s="2" cm="1">
        <f t="array" ref="Y84">+SUM(D84:W84*1000000)/1000000000</f>
        <v>3.4347880666738191</v>
      </c>
    </row>
    <row r="85" spans="1:25" x14ac:dyDescent="0.2">
      <c r="A85">
        <v>14</v>
      </c>
      <c r="B85">
        <f t="shared" si="1"/>
        <v>2029</v>
      </c>
      <c r="C85">
        <v>6004</v>
      </c>
      <c r="D85" s="3">
        <f t="shared" ref="D85:W85" si="9">+D46-D8</f>
        <v>0</v>
      </c>
      <c r="E85" s="3">
        <f t="shared" si="9"/>
        <v>0</v>
      </c>
      <c r="F85" s="3">
        <f t="shared" si="9"/>
        <v>0</v>
      </c>
      <c r="G85" s="3">
        <f t="shared" si="9"/>
        <v>0</v>
      </c>
      <c r="H85" s="3">
        <f t="shared" si="9"/>
        <v>0</v>
      </c>
      <c r="I85" s="3">
        <f t="shared" si="9"/>
        <v>0</v>
      </c>
      <c r="J85" s="3">
        <f t="shared" si="9"/>
        <v>25.837601698930801</v>
      </c>
      <c r="K85" s="3">
        <f t="shared" si="9"/>
        <v>0</v>
      </c>
      <c r="L85" s="3">
        <f t="shared" si="9"/>
        <v>0</v>
      </c>
      <c r="M85" s="3">
        <f t="shared" si="9"/>
        <v>0</v>
      </c>
      <c r="N85" s="3">
        <f t="shared" si="9"/>
        <v>-545.57576004481496</v>
      </c>
      <c r="O85" s="3">
        <f t="shared" si="9"/>
        <v>1707.72531768968</v>
      </c>
      <c r="P85" s="3">
        <f t="shared" si="9"/>
        <v>207.7356039170528</v>
      </c>
      <c r="Q85" s="3">
        <f t="shared" si="9"/>
        <v>0</v>
      </c>
      <c r="R85" s="3">
        <f t="shared" si="9"/>
        <v>0</v>
      </c>
      <c r="S85" s="3">
        <f t="shared" si="9"/>
        <v>0</v>
      </c>
      <c r="T85" s="3">
        <f t="shared" si="9"/>
        <v>0</v>
      </c>
      <c r="U85" s="3">
        <f t="shared" si="9"/>
        <v>0</v>
      </c>
      <c r="V85" s="3">
        <f t="shared" si="9"/>
        <v>0</v>
      </c>
      <c r="W85" s="3">
        <f t="shared" si="9"/>
        <v>809.35907537924311</v>
      </c>
      <c r="Y85" s="2" cm="1">
        <f t="array" ref="Y85">+SUM(D85:W85*1000000)/1000000000</f>
        <v>2.2050818386400919</v>
      </c>
    </row>
    <row r="86" spans="1:25" x14ac:dyDescent="0.2">
      <c r="A86">
        <v>15</v>
      </c>
      <c r="B86">
        <f t="shared" si="1"/>
        <v>2030</v>
      </c>
      <c r="C86">
        <v>6004</v>
      </c>
      <c r="D86" s="3">
        <f t="shared" ref="D86:W86" si="10">+D47-D9</f>
        <v>0</v>
      </c>
      <c r="E86" s="3">
        <f t="shared" si="10"/>
        <v>0</v>
      </c>
      <c r="F86" s="3">
        <f t="shared" si="10"/>
        <v>0</v>
      </c>
      <c r="G86" s="3">
        <f t="shared" si="10"/>
        <v>0</v>
      </c>
      <c r="H86" s="3">
        <f t="shared" si="10"/>
        <v>0</v>
      </c>
      <c r="I86" s="3">
        <f t="shared" si="10"/>
        <v>0</v>
      </c>
      <c r="J86" s="3">
        <f t="shared" si="10"/>
        <v>29.423427376184819</v>
      </c>
      <c r="K86" s="3">
        <f t="shared" si="10"/>
        <v>0</v>
      </c>
      <c r="L86" s="3">
        <f t="shared" si="10"/>
        <v>0</v>
      </c>
      <c r="M86" s="3">
        <f t="shared" si="10"/>
        <v>0</v>
      </c>
      <c r="N86" s="3">
        <f t="shared" si="10"/>
        <v>-57.258752944192203</v>
      </c>
      <c r="O86" s="3">
        <f t="shared" si="10"/>
        <v>1738.77860684098</v>
      </c>
      <c r="P86" s="3">
        <f t="shared" si="10"/>
        <v>206.80544198527949</v>
      </c>
      <c r="Q86" s="3">
        <f t="shared" si="10"/>
        <v>0</v>
      </c>
      <c r="R86" s="3">
        <f t="shared" si="10"/>
        <v>0</v>
      </c>
      <c r="S86" s="3">
        <f t="shared" si="10"/>
        <v>0</v>
      </c>
      <c r="T86" s="3">
        <f t="shared" si="10"/>
        <v>0</v>
      </c>
      <c r="U86" s="3">
        <f t="shared" si="10"/>
        <v>0</v>
      </c>
      <c r="V86" s="3">
        <f t="shared" si="10"/>
        <v>0</v>
      </c>
      <c r="W86" s="3">
        <f t="shared" si="10"/>
        <v>807.17531950583566</v>
      </c>
      <c r="Y86" s="2" cm="1">
        <f t="array" ref="Y86">+SUM(D86:W86*1000000)/1000000000</f>
        <v>2.7249240427640875</v>
      </c>
    </row>
    <row r="87" spans="1:25" x14ac:dyDescent="0.2">
      <c r="A87">
        <v>16</v>
      </c>
      <c r="B87">
        <f t="shared" si="1"/>
        <v>2031</v>
      </c>
      <c r="C87">
        <v>6004</v>
      </c>
      <c r="D87" s="3">
        <f t="shared" ref="D87:W87" si="11">+D48-D10</f>
        <v>0</v>
      </c>
      <c r="E87" s="3">
        <f t="shared" si="11"/>
        <v>0</v>
      </c>
      <c r="F87" s="3">
        <f t="shared" si="11"/>
        <v>0</v>
      </c>
      <c r="G87" s="3">
        <f t="shared" si="11"/>
        <v>0</v>
      </c>
      <c r="H87" s="3">
        <f t="shared" si="11"/>
        <v>0</v>
      </c>
      <c r="I87" s="3">
        <f t="shared" si="11"/>
        <v>0</v>
      </c>
      <c r="J87" s="3">
        <f t="shared" si="11"/>
        <v>33.17341993827057</v>
      </c>
      <c r="K87" s="3">
        <f t="shared" si="11"/>
        <v>0</v>
      </c>
      <c r="L87" s="3">
        <f t="shared" si="11"/>
        <v>0</v>
      </c>
      <c r="M87" s="3">
        <f t="shared" si="11"/>
        <v>0</v>
      </c>
      <c r="N87" s="3">
        <f t="shared" si="11"/>
        <v>-66.867313560428499</v>
      </c>
      <c r="O87" s="3">
        <f t="shared" si="11"/>
        <v>1768.5696249431201</v>
      </c>
      <c r="P87" s="3">
        <f t="shared" si="11"/>
        <v>205.11114425686389</v>
      </c>
      <c r="Q87" s="3">
        <f t="shared" si="11"/>
        <v>0</v>
      </c>
      <c r="R87" s="3">
        <f t="shared" si="11"/>
        <v>0</v>
      </c>
      <c r="S87" s="3">
        <f t="shared" si="11"/>
        <v>0</v>
      </c>
      <c r="T87" s="3">
        <f t="shared" si="11"/>
        <v>0</v>
      </c>
      <c r="U87" s="3">
        <f t="shared" si="11"/>
        <v>0</v>
      </c>
      <c r="V87" s="3">
        <f t="shared" si="11"/>
        <v>0</v>
      </c>
      <c r="W87" s="3">
        <f t="shared" si="11"/>
        <v>800.71501486850229</v>
      </c>
      <c r="Y87" s="2" cm="1">
        <f t="array" ref="Y87">+SUM(D87:W87*1000000)/1000000000</f>
        <v>2.7407018904463283</v>
      </c>
    </row>
    <row r="88" spans="1:25" x14ac:dyDescent="0.2">
      <c r="A88">
        <v>17</v>
      </c>
      <c r="B88">
        <f t="shared" si="1"/>
        <v>2032</v>
      </c>
      <c r="C88">
        <v>6004</v>
      </c>
      <c r="D88" s="3">
        <f t="shared" ref="D88:W88" si="12">+D49-D11</f>
        <v>0</v>
      </c>
      <c r="E88" s="3">
        <f t="shared" si="12"/>
        <v>0</v>
      </c>
      <c r="F88" s="3">
        <f t="shared" si="12"/>
        <v>0</v>
      </c>
      <c r="G88" s="3">
        <f t="shared" si="12"/>
        <v>0</v>
      </c>
      <c r="H88" s="3">
        <f t="shared" si="12"/>
        <v>0</v>
      </c>
      <c r="I88" s="3">
        <f t="shared" si="12"/>
        <v>0</v>
      </c>
      <c r="J88" s="3">
        <f t="shared" si="12"/>
        <v>37.130946408945078</v>
      </c>
      <c r="K88" s="3">
        <f t="shared" si="12"/>
        <v>0</v>
      </c>
      <c r="L88" s="3">
        <f t="shared" si="12"/>
        <v>0</v>
      </c>
      <c r="M88" s="3">
        <f t="shared" si="12"/>
        <v>0</v>
      </c>
      <c r="N88" s="3">
        <f t="shared" si="12"/>
        <v>-433.58093959301698</v>
      </c>
      <c r="O88" s="3">
        <f t="shared" si="12"/>
        <v>1805.0141574050299</v>
      </c>
      <c r="P88" s="3">
        <f t="shared" si="12"/>
        <v>204.13439307538377</v>
      </c>
      <c r="Q88" s="3">
        <f t="shared" si="12"/>
        <v>0</v>
      </c>
      <c r="R88" s="3">
        <f t="shared" si="12"/>
        <v>0</v>
      </c>
      <c r="S88" s="3">
        <f t="shared" si="12"/>
        <v>0</v>
      </c>
      <c r="T88" s="3">
        <f t="shared" si="12"/>
        <v>0</v>
      </c>
      <c r="U88" s="3">
        <f t="shared" si="12"/>
        <v>0</v>
      </c>
      <c r="V88" s="3">
        <f t="shared" si="12"/>
        <v>0</v>
      </c>
      <c r="W88" s="3">
        <f t="shared" si="12"/>
        <v>796.89552590698815</v>
      </c>
      <c r="Y88" s="2" cm="1">
        <f t="array" ref="Y88">+SUM(D88:W88*1000000)/1000000000</f>
        <v>2.4095940832033294</v>
      </c>
    </row>
    <row r="89" spans="1:25" x14ac:dyDescent="0.2">
      <c r="A89">
        <v>18</v>
      </c>
      <c r="B89">
        <f t="shared" si="1"/>
        <v>2033</v>
      </c>
      <c r="C89">
        <v>6004</v>
      </c>
      <c r="D89" s="3">
        <f t="shared" ref="D89:W89" si="13">+D50-D12</f>
        <v>0</v>
      </c>
      <c r="E89" s="3">
        <f t="shared" si="13"/>
        <v>0</v>
      </c>
      <c r="F89" s="3">
        <f t="shared" si="13"/>
        <v>0</v>
      </c>
      <c r="G89" s="3">
        <f t="shared" si="13"/>
        <v>0</v>
      </c>
      <c r="H89" s="3">
        <f t="shared" si="13"/>
        <v>0</v>
      </c>
      <c r="I89" s="3">
        <f t="shared" si="13"/>
        <v>0</v>
      </c>
      <c r="J89" s="3">
        <f t="shared" si="13"/>
        <v>41.239894194473152</v>
      </c>
      <c r="K89" s="3">
        <f t="shared" si="13"/>
        <v>0</v>
      </c>
      <c r="L89" s="3">
        <f t="shared" si="13"/>
        <v>0</v>
      </c>
      <c r="M89" s="3">
        <f t="shared" si="13"/>
        <v>0</v>
      </c>
      <c r="N89" s="3">
        <f t="shared" si="13"/>
        <v>-897.72477441707804</v>
      </c>
      <c r="O89" s="3">
        <f t="shared" si="13"/>
        <v>1844.0641373200101</v>
      </c>
      <c r="P89" s="3">
        <f t="shared" si="13"/>
        <v>203.1109377922277</v>
      </c>
      <c r="Q89" s="3">
        <f t="shared" si="13"/>
        <v>0</v>
      </c>
      <c r="R89" s="3">
        <f t="shared" si="13"/>
        <v>0</v>
      </c>
      <c r="S89" s="3">
        <f t="shared" si="13"/>
        <v>0</v>
      </c>
      <c r="T89" s="3">
        <f t="shared" si="13"/>
        <v>0</v>
      </c>
      <c r="U89" s="3">
        <f t="shared" si="13"/>
        <v>1882.5988354799399</v>
      </c>
      <c r="V89" s="3">
        <f t="shared" si="13"/>
        <v>0</v>
      </c>
      <c r="W89" s="3">
        <f t="shared" si="13"/>
        <v>-110.016622104394</v>
      </c>
      <c r="Y89" s="2" cm="1">
        <f t="array" ref="Y89">+SUM(D89:W89*1000000)/1000000000</f>
        <v>2.9632724082651785</v>
      </c>
    </row>
    <row r="90" spans="1:25" x14ac:dyDescent="0.2">
      <c r="A90">
        <v>19</v>
      </c>
      <c r="B90">
        <f t="shared" si="1"/>
        <v>2034</v>
      </c>
      <c r="C90">
        <v>6004</v>
      </c>
      <c r="D90" s="3">
        <f t="shared" ref="D90:W90" si="14">+D51-D13</f>
        <v>0</v>
      </c>
      <c r="E90" s="3">
        <f t="shared" si="14"/>
        <v>0</v>
      </c>
      <c r="F90" s="3">
        <f t="shared" si="14"/>
        <v>0</v>
      </c>
      <c r="G90" s="3">
        <f t="shared" si="14"/>
        <v>0</v>
      </c>
      <c r="H90" s="3">
        <f t="shared" si="14"/>
        <v>0</v>
      </c>
      <c r="I90" s="3">
        <f t="shared" si="14"/>
        <v>0</v>
      </c>
      <c r="J90" s="3">
        <f t="shared" si="14"/>
        <v>45.480650600609607</v>
      </c>
      <c r="K90" s="3">
        <f t="shared" si="14"/>
        <v>0</v>
      </c>
      <c r="L90" s="3">
        <f t="shared" si="14"/>
        <v>0</v>
      </c>
      <c r="M90" s="3">
        <f t="shared" si="14"/>
        <v>0</v>
      </c>
      <c r="N90" s="3">
        <f t="shared" si="14"/>
        <v>-111.847639305282</v>
      </c>
      <c r="O90" s="3">
        <f t="shared" si="14"/>
        <v>1885.4476589127601</v>
      </c>
      <c r="P90" s="3">
        <f t="shared" si="14"/>
        <v>202.26939801057452</v>
      </c>
      <c r="Q90" s="3">
        <f t="shared" si="14"/>
        <v>0</v>
      </c>
      <c r="R90" s="3">
        <f t="shared" si="14"/>
        <v>0</v>
      </c>
      <c r="S90" s="3">
        <f t="shared" si="14"/>
        <v>0</v>
      </c>
      <c r="T90" s="3">
        <f t="shared" si="14"/>
        <v>0</v>
      </c>
      <c r="U90" s="3">
        <f t="shared" si="14"/>
        <v>-55.621960869217901</v>
      </c>
      <c r="V90" s="3">
        <f t="shared" si="14"/>
        <v>0</v>
      </c>
      <c r="W90" s="3">
        <f t="shared" si="14"/>
        <v>814.95331006963761</v>
      </c>
      <c r="Y90" s="2" cm="1">
        <f t="array" ref="Y90">+SUM(D90:W90*1000000)/1000000000</f>
        <v>2.7806814174190824</v>
      </c>
    </row>
    <row r="91" spans="1:25" x14ac:dyDescent="0.2">
      <c r="A91">
        <v>20</v>
      </c>
      <c r="B91">
        <f t="shared" si="1"/>
        <v>2035</v>
      </c>
      <c r="C91">
        <v>6004</v>
      </c>
      <c r="D91" s="3">
        <f t="shared" ref="D91:W91" si="15">+D52-D14</f>
        <v>0</v>
      </c>
      <c r="E91" s="3">
        <f t="shared" si="15"/>
        <v>0</v>
      </c>
      <c r="F91" s="3">
        <f t="shared" si="15"/>
        <v>0</v>
      </c>
      <c r="G91" s="3">
        <f t="shared" si="15"/>
        <v>0</v>
      </c>
      <c r="H91" s="3">
        <f t="shared" si="15"/>
        <v>0</v>
      </c>
      <c r="I91" s="3">
        <f t="shared" si="15"/>
        <v>0</v>
      </c>
      <c r="J91" s="3">
        <f t="shared" si="15"/>
        <v>49.840866552945201</v>
      </c>
      <c r="K91" s="3">
        <f t="shared" si="15"/>
        <v>0</v>
      </c>
      <c r="L91" s="3">
        <f t="shared" si="15"/>
        <v>0</v>
      </c>
      <c r="M91" s="3">
        <f t="shared" si="15"/>
        <v>0</v>
      </c>
      <c r="N91" s="3">
        <f t="shared" si="15"/>
        <v>-566.32337057520397</v>
      </c>
      <c r="O91" s="3">
        <f t="shared" si="15"/>
        <v>1930.8768028059101</v>
      </c>
      <c r="P91" s="3">
        <f t="shared" si="15"/>
        <v>201.65432587806191</v>
      </c>
      <c r="Q91" s="3">
        <f t="shared" si="15"/>
        <v>0</v>
      </c>
      <c r="R91" s="3">
        <f t="shared" si="15"/>
        <v>0</v>
      </c>
      <c r="S91" s="3">
        <f t="shared" si="15"/>
        <v>0</v>
      </c>
      <c r="T91" s="3">
        <f t="shared" si="15"/>
        <v>0</v>
      </c>
      <c r="U91" s="3">
        <f t="shared" si="15"/>
        <v>2490.4238495272193</v>
      </c>
      <c r="V91" s="3">
        <f t="shared" si="15"/>
        <v>0</v>
      </c>
      <c r="W91" s="3">
        <f t="shared" si="15"/>
        <v>-434.45421081752966</v>
      </c>
      <c r="Y91" s="2" cm="1">
        <f t="array" ref="Y91">+SUM(D91:W91*1000000)/1000000000</f>
        <v>3.6720182633714029</v>
      </c>
    </row>
    <row r="92" spans="1:25" x14ac:dyDescent="0.2">
      <c r="A92">
        <v>21</v>
      </c>
      <c r="B92">
        <f t="shared" si="1"/>
        <v>2036</v>
      </c>
      <c r="C92">
        <v>6004</v>
      </c>
      <c r="D92" s="3">
        <f t="shared" ref="D92:W92" si="16">+D53-D15</f>
        <v>0</v>
      </c>
      <c r="E92" s="3">
        <f t="shared" si="16"/>
        <v>0</v>
      </c>
      <c r="F92" s="3">
        <f t="shared" si="16"/>
        <v>0</v>
      </c>
      <c r="G92" s="3">
        <f t="shared" si="16"/>
        <v>0</v>
      </c>
      <c r="H92" s="3">
        <f t="shared" si="16"/>
        <v>0</v>
      </c>
      <c r="I92" s="3">
        <f t="shared" si="16"/>
        <v>0</v>
      </c>
      <c r="J92" s="3">
        <f t="shared" si="16"/>
        <v>54.187638687111111</v>
      </c>
      <c r="K92" s="3">
        <f t="shared" si="16"/>
        <v>0</v>
      </c>
      <c r="L92" s="3">
        <f t="shared" si="16"/>
        <v>0</v>
      </c>
      <c r="M92" s="3">
        <f t="shared" si="16"/>
        <v>0</v>
      </c>
      <c r="N92" s="3">
        <f t="shared" si="16"/>
        <v>-141.782345153726</v>
      </c>
      <c r="O92" s="3">
        <f t="shared" si="16"/>
        <v>1976.6901116807301</v>
      </c>
      <c r="P92" s="3">
        <f t="shared" si="16"/>
        <v>200.9397316947672</v>
      </c>
      <c r="Q92" s="3">
        <f t="shared" si="16"/>
        <v>0</v>
      </c>
      <c r="R92" s="3">
        <f t="shared" si="16"/>
        <v>0</v>
      </c>
      <c r="S92" s="3">
        <f t="shared" si="16"/>
        <v>0</v>
      </c>
      <c r="T92" s="3">
        <f t="shared" si="16"/>
        <v>0</v>
      </c>
      <c r="U92" s="3">
        <f t="shared" si="16"/>
        <v>0</v>
      </c>
      <c r="V92" s="3">
        <f t="shared" si="16"/>
        <v>0</v>
      </c>
      <c r="W92" s="3">
        <f t="shared" si="16"/>
        <v>780.80220309044944</v>
      </c>
      <c r="Y92" s="2" cm="1">
        <f t="array" ref="Y92">+SUM(D92:W92*1000000)/1000000000</f>
        <v>2.8708373399993321</v>
      </c>
    </row>
    <row r="93" spans="1:25" x14ac:dyDescent="0.2">
      <c r="A93">
        <v>22</v>
      </c>
      <c r="B93">
        <f t="shared" si="1"/>
        <v>2037</v>
      </c>
      <c r="C93">
        <v>6004</v>
      </c>
      <c r="D93" s="3">
        <f t="shared" ref="D93:W93" si="17">+D54-D16</f>
        <v>0</v>
      </c>
      <c r="E93" s="3">
        <f t="shared" si="17"/>
        <v>0</v>
      </c>
      <c r="F93" s="3">
        <f t="shared" si="17"/>
        <v>0</v>
      </c>
      <c r="G93" s="3">
        <f t="shared" si="17"/>
        <v>0</v>
      </c>
      <c r="H93" s="3">
        <f t="shared" si="17"/>
        <v>0</v>
      </c>
      <c r="I93" s="3">
        <f t="shared" si="17"/>
        <v>0</v>
      </c>
      <c r="J93" s="3">
        <f t="shared" si="17"/>
        <v>58.730503075030306</v>
      </c>
      <c r="K93" s="3">
        <f t="shared" si="17"/>
        <v>0</v>
      </c>
      <c r="L93" s="3">
        <f t="shared" si="17"/>
        <v>0</v>
      </c>
      <c r="M93" s="3">
        <f t="shared" si="17"/>
        <v>0</v>
      </c>
      <c r="N93" s="3">
        <f t="shared" si="17"/>
        <v>-160.420976886983</v>
      </c>
      <c r="O93" s="3">
        <f t="shared" si="17"/>
        <v>2029.2921175752799</v>
      </c>
      <c r="P93" s="3">
        <f t="shared" si="17"/>
        <v>200.68376059152581</v>
      </c>
      <c r="Q93" s="3">
        <f t="shared" si="17"/>
        <v>0</v>
      </c>
      <c r="R93" s="3">
        <f t="shared" si="17"/>
        <v>0</v>
      </c>
      <c r="S93" s="3">
        <f t="shared" si="17"/>
        <v>0</v>
      </c>
      <c r="T93" s="3">
        <f t="shared" si="17"/>
        <v>0</v>
      </c>
      <c r="U93" s="3">
        <f t="shared" si="17"/>
        <v>0</v>
      </c>
      <c r="V93" s="3">
        <f t="shared" si="17"/>
        <v>0</v>
      </c>
      <c r="W93" s="3">
        <f t="shared" si="17"/>
        <v>778.34811716520733</v>
      </c>
      <c r="Y93" s="2" cm="1">
        <f t="array" ref="Y93">+SUM(D93:W93*1000000)/1000000000</f>
        <v>2.9066335215200607</v>
      </c>
    </row>
    <row r="94" spans="1:25" x14ac:dyDescent="0.2">
      <c r="A94">
        <v>23</v>
      </c>
      <c r="B94">
        <f t="shared" si="1"/>
        <v>2038</v>
      </c>
      <c r="C94">
        <v>6004</v>
      </c>
      <c r="D94" s="3">
        <f t="shared" ref="D94:W94" si="18">+D55-D17</f>
        <v>0</v>
      </c>
      <c r="E94" s="3">
        <f t="shared" si="18"/>
        <v>0</v>
      </c>
      <c r="F94" s="3">
        <f t="shared" si="18"/>
        <v>0</v>
      </c>
      <c r="G94" s="3">
        <f t="shared" si="18"/>
        <v>0</v>
      </c>
      <c r="H94" s="3">
        <f t="shared" si="18"/>
        <v>0</v>
      </c>
      <c r="I94" s="3">
        <f t="shared" si="18"/>
        <v>0</v>
      </c>
      <c r="J94" s="3">
        <f t="shared" si="18"/>
        <v>54.961715901155387</v>
      </c>
      <c r="K94" s="3">
        <f t="shared" si="18"/>
        <v>0</v>
      </c>
      <c r="L94" s="3">
        <f t="shared" si="18"/>
        <v>0</v>
      </c>
      <c r="M94" s="3">
        <f t="shared" si="18"/>
        <v>0</v>
      </c>
      <c r="N94" s="3">
        <f t="shared" si="18"/>
        <v>-179.897766129866</v>
      </c>
      <c r="O94" s="3">
        <f t="shared" si="18"/>
        <v>2086.8254713134702</v>
      </c>
      <c r="P94" s="3">
        <f t="shared" si="18"/>
        <v>200.80924886272669</v>
      </c>
      <c r="Q94" s="3">
        <f t="shared" si="18"/>
        <v>0</v>
      </c>
      <c r="R94" s="3">
        <f t="shared" si="18"/>
        <v>0</v>
      </c>
      <c r="S94" s="3">
        <f t="shared" si="18"/>
        <v>0</v>
      </c>
      <c r="T94" s="3">
        <f t="shared" si="18"/>
        <v>0</v>
      </c>
      <c r="U94" s="3">
        <f t="shared" si="18"/>
        <v>0</v>
      </c>
      <c r="V94" s="3">
        <f t="shared" si="18"/>
        <v>0</v>
      </c>
      <c r="W94" s="3">
        <f t="shared" si="18"/>
        <v>777.35924056797103</v>
      </c>
      <c r="Y94" s="2" cm="1">
        <f t="array" ref="Y94">+SUM(D94:W94*1000000)/1000000000</f>
        <v>2.9400579105154572</v>
      </c>
    </row>
    <row r="95" spans="1:25" x14ac:dyDescent="0.2">
      <c r="A95">
        <v>24</v>
      </c>
      <c r="B95">
        <f t="shared" si="1"/>
        <v>2039</v>
      </c>
      <c r="C95">
        <v>6004</v>
      </c>
      <c r="D95" s="3">
        <f t="shared" ref="D95:W95" si="19">+D56-D18</f>
        <v>0</v>
      </c>
      <c r="E95" s="3">
        <f t="shared" si="19"/>
        <v>0</v>
      </c>
      <c r="F95" s="3">
        <f t="shared" si="19"/>
        <v>0</v>
      </c>
      <c r="G95" s="3">
        <f t="shared" si="19"/>
        <v>0</v>
      </c>
      <c r="H95" s="3">
        <f t="shared" si="19"/>
        <v>0</v>
      </c>
      <c r="I95" s="3">
        <f t="shared" si="19"/>
        <v>0</v>
      </c>
      <c r="J95" s="3">
        <f t="shared" si="19"/>
        <v>58.145276757264718</v>
      </c>
      <c r="K95" s="3">
        <f t="shared" si="19"/>
        <v>0</v>
      </c>
      <c r="L95" s="3">
        <f t="shared" si="19"/>
        <v>0</v>
      </c>
      <c r="M95" s="3">
        <f t="shared" si="19"/>
        <v>0</v>
      </c>
      <c r="N95" s="3">
        <f t="shared" si="19"/>
        <v>-469.12789850269797</v>
      </c>
      <c r="O95" s="3">
        <f t="shared" si="19"/>
        <v>2145.3900056764501</v>
      </c>
      <c r="P95" s="3">
        <f t="shared" si="19"/>
        <v>200.76810319252789</v>
      </c>
      <c r="Q95" s="3">
        <f t="shared" si="19"/>
        <v>0</v>
      </c>
      <c r="R95" s="3">
        <f t="shared" si="19"/>
        <v>0</v>
      </c>
      <c r="S95" s="3">
        <f t="shared" si="19"/>
        <v>0</v>
      </c>
      <c r="T95" s="3">
        <f t="shared" si="19"/>
        <v>0</v>
      </c>
      <c r="U95" s="3">
        <f t="shared" si="19"/>
        <v>0</v>
      </c>
      <c r="V95" s="3">
        <f t="shared" si="19"/>
        <v>0</v>
      </c>
      <c r="W95" s="3">
        <f t="shared" si="19"/>
        <v>775.42760901047109</v>
      </c>
      <c r="Y95" s="2" cm="1">
        <f t="array" ref="Y95">+SUM(D95:W95*1000000)/1000000000</f>
        <v>2.7106030961340162</v>
      </c>
    </row>
    <row r="96" spans="1:25" x14ac:dyDescent="0.2">
      <c r="A96">
        <v>25</v>
      </c>
      <c r="B96">
        <f t="shared" si="1"/>
        <v>2040</v>
      </c>
      <c r="C96">
        <v>6004</v>
      </c>
      <c r="D96" s="3">
        <f t="shared" ref="D96:W96" si="20">+D57-D19</f>
        <v>0</v>
      </c>
      <c r="E96" s="3">
        <f t="shared" si="20"/>
        <v>0</v>
      </c>
      <c r="F96" s="3">
        <f t="shared" si="20"/>
        <v>0</v>
      </c>
      <c r="G96" s="3">
        <f t="shared" si="20"/>
        <v>0</v>
      </c>
      <c r="H96" s="3">
        <f t="shared" si="20"/>
        <v>0</v>
      </c>
      <c r="I96" s="3">
        <f t="shared" si="20"/>
        <v>0</v>
      </c>
      <c r="J96" s="3">
        <f t="shared" si="20"/>
        <v>61.331512688102052</v>
      </c>
      <c r="K96" s="3">
        <f t="shared" si="20"/>
        <v>0</v>
      </c>
      <c r="L96" s="3">
        <f t="shared" si="20"/>
        <v>-1869.85191944351</v>
      </c>
      <c r="M96" s="3">
        <f t="shared" si="20"/>
        <v>0</v>
      </c>
      <c r="N96" s="3">
        <f>+N57-N19</f>
        <v>-9766.8952334179503</v>
      </c>
      <c r="O96" s="3">
        <f t="shared" si="20"/>
        <v>2203.38992763948</v>
      </c>
      <c r="P96" s="3">
        <f t="shared" si="20"/>
        <v>200.49114533319982</v>
      </c>
      <c r="Q96" s="3">
        <f t="shared" si="20"/>
        <v>0</v>
      </c>
      <c r="R96" s="3">
        <f t="shared" si="20"/>
        <v>0</v>
      </c>
      <c r="S96" s="3">
        <f t="shared" si="20"/>
        <v>0</v>
      </c>
      <c r="T96" s="3">
        <f t="shared" si="20"/>
        <v>0</v>
      </c>
      <c r="U96" s="3">
        <f t="shared" si="20"/>
        <v>0</v>
      </c>
      <c r="V96" s="3">
        <f t="shared" si="20"/>
        <v>0</v>
      </c>
      <c r="W96" s="3">
        <f t="shared" si="20"/>
        <v>2157.5582380284504</v>
      </c>
      <c r="Y96" s="2" cm="1">
        <f t="array" ref="Y96">+SUM(D96:W96*1000000)/1000000000</f>
        <v>-7.0139763291722259</v>
      </c>
    </row>
    <row r="97" spans="1:25" x14ac:dyDescent="0.2">
      <c r="A97">
        <v>26</v>
      </c>
      <c r="B97">
        <f t="shared" si="1"/>
        <v>2041</v>
      </c>
      <c r="C97">
        <v>6004</v>
      </c>
      <c r="D97" s="3">
        <f t="shared" ref="D97:W97" si="21">+D58-D20</f>
        <v>0</v>
      </c>
      <c r="E97" s="3">
        <f t="shared" si="21"/>
        <v>0</v>
      </c>
      <c r="F97" s="3">
        <f t="shared" si="21"/>
        <v>0</v>
      </c>
      <c r="G97" s="3">
        <f t="shared" si="21"/>
        <v>0</v>
      </c>
      <c r="H97" s="3">
        <f t="shared" si="21"/>
        <v>0</v>
      </c>
      <c r="I97" s="3">
        <f t="shared" si="21"/>
        <v>0</v>
      </c>
      <c r="J97" s="3">
        <f t="shared" si="21"/>
        <v>64.136423349803408</v>
      </c>
      <c r="K97" s="3">
        <f t="shared" si="21"/>
        <v>0</v>
      </c>
      <c r="L97" s="3">
        <f t="shared" si="21"/>
        <v>-145.97459045904401</v>
      </c>
      <c r="M97" s="3">
        <f t="shared" si="21"/>
        <v>0</v>
      </c>
      <c r="N97" s="3">
        <f t="shared" si="21"/>
        <v>-795.19090533790802</v>
      </c>
      <c r="O97" s="3">
        <f t="shared" si="21"/>
        <v>2244.5569554013</v>
      </c>
      <c r="P97" s="3">
        <f t="shared" si="21"/>
        <v>198.60858823120242</v>
      </c>
      <c r="Q97" s="3">
        <f t="shared" si="21"/>
        <v>0</v>
      </c>
      <c r="R97" s="3">
        <f t="shared" si="21"/>
        <v>0</v>
      </c>
      <c r="S97" s="3">
        <f t="shared" si="21"/>
        <v>0</v>
      </c>
      <c r="T97" s="3">
        <f t="shared" si="21"/>
        <v>-1764.63351554768</v>
      </c>
      <c r="U97" s="3">
        <f t="shared" si="21"/>
        <v>0</v>
      </c>
      <c r="V97" s="3">
        <f t="shared" si="21"/>
        <v>0</v>
      </c>
      <c r="W97" s="3">
        <f t="shared" si="21"/>
        <v>-3.7293260702095399</v>
      </c>
      <c r="Y97" s="2" cm="1">
        <f t="array" ref="Y97">+SUM(D97:W97*1000000)/1000000000</f>
        <v>-0.20222637043253569</v>
      </c>
    </row>
    <row r="98" spans="1:25" x14ac:dyDescent="0.2">
      <c r="A98">
        <v>27</v>
      </c>
      <c r="B98">
        <f t="shared" si="1"/>
        <v>2042</v>
      </c>
      <c r="C98">
        <v>6004</v>
      </c>
      <c r="D98" s="3">
        <f t="shared" ref="D98:W98" si="22">+D59-D21</f>
        <v>0</v>
      </c>
      <c r="E98" s="3">
        <f t="shared" si="22"/>
        <v>0</v>
      </c>
      <c r="F98" s="3">
        <f t="shared" si="22"/>
        <v>0</v>
      </c>
      <c r="G98" s="3">
        <f t="shared" si="22"/>
        <v>0</v>
      </c>
      <c r="H98" s="3">
        <f t="shared" si="22"/>
        <v>0</v>
      </c>
      <c r="I98" s="3">
        <f t="shared" si="22"/>
        <v>0</v>
      </c>
      <c r="J98" s="3">
        <f t="shared" si="22"/>
        <v>67.06318664045618</v>
      </c>
      <c r="K98" s="3">
        <f t="shared" si="22"/>
        <v>0</v>
      </c>
      <c r="L98" s="3">
        <f t="shared" si="22"/>
        <v>-151.737848982667</v>
      </c>
      <c r="M98" s="3">
        <f t="shared" si="22"/>
        <v>0</v>
      </c>
      <c r="N98" s="3">
        <f t="shared" si="22"/>
        <v>-431.272181556497</v>
      </c>
      <c r="O98" s="3">
        <f t="shared" si="22"/>
        <v>2284.8614331057302</v>
      </c>
      <c r="P98" s="3">
        <f t="shared" si="22"/>
        <v>196.50761716716599</v>
      </c>
      <c r="Q98" s="3">
        <f t="shared" si="22"/>
        <v>0</v>
      </c>
      <c r="R98" s="3">
        <f t="shared" si="22"/>
        <v>0</v>
      </c>
      <c r="S98" s="3">
        <f t="shared" si="22"/>
        <v>0</v>
      </c>
      <c r="T98" s="3">
        <f t="shared" si="22"/>
        <v>-659.37163815635404</v>
      </c>
      <c r="U98" s="3">
        <f t="shared" si="22"/>
        <v>534.55368885163205</v>
      </c>
      <c r="V98" s="3">
        <f t="shared" si="22"/>
        <v>0</v>
      </c>
      <c r="W98" s="3">
        <f t="shared" si="22"/>
        <v>144.54370669033301</v>
      </c>
      <c r="Y98" s="2" cm="1">
        <f t="array" ref="Y98">+SUM(D98:W98*1000000)/1000000000</f>
        <v>1.9851479637597991</v>
      </c>
    </row>
    <row r="99" spans="1:25" x14ac:dyDescent="0.2">
      <c r="A99">
        <v>28</v>
      </c>
      <c r="B99">
        <f t="shared" si="1"/>
        <v>2043</v>
      </c>
      <c r="C99">
        <v>6004</v>
      </c>
      <c r="D99" s="3">
        <f t="shared" ref="D99:W99" si="23">+D60-D22</f>
        <v>0</v>
      </c>
      <c r="E99" s="3">
        <f t="shared" si="23"/>
        <v>0</v>
      </c>
      <c r="F99" s="3">
        <f t="shared" si="23"/>
        <v>0</v>
      </c>
      <c r="G99" s="3">
        <f t="shared" si="23"/>
        <v>0</v>
      </c>
      <c r="H99" s="3">
        <f t="shared" si="23"/>
        <v>0</v>
      </c>
      <c r="I99" s="3">
        <f t="shared" si="23"/>
        <v>0</v>
      </c>
      <c r="J99" s="3">
        <f t="shared" si="23"/>
        <v>69.926853257188412</v>
      </c>
      <c r="K99" s="3">
        <f t="shared" si="23"/>
        <v>0</v>
      </c>
      <c r="L99" s="3">
        <f t="shared" si="23"/>
        <v>-155.823110549104</v>
      </c>
      <c r="M99" s="3">
        <f t="shared" si="23"/>
        <v>0</v>
      </c>
      <c r="N99" s="3">
        <f t="shared" si="23"/>
        <v>-110.71145751195</v>
      </c>
      <c r="O99" s="3">
        <f t="shared" si="23"/>
        <v>2318.3356633257299</v>
      </c>
      <c r="P99" s="3">
        <f t="shared" si="23"/>
        <v>193.7965495684652</v>
      </c>
      <c r="Q99" s="3">
        <f t="shared" si="23"/>
        <v>0</v>
      </c>
      <c r="R99" s="3">
        <f t="shared" si="23"/>
        <v>0</v>
      </c>
      <c r="S99" s="3">
        <f t="shared" si="23"/>
        <v>0</v>
      </c>
      <c r="T99" s="3">
        <f t="shared" si="23"/>
        <v>-727.99582247400599</v>
      </c>
      <c r="U99" s="3">
        <f t="shared" si="23"/>
        <v>445.63306231006402</v>
      </c>
      <c r="V99" s="3">
        <f t="shared" si="23"/>
        <v>-305.57805531343581</v>
      </c>
      <c r="W99" s="3">
        <f t="shared" si="23"/>
        <v>1.4784701174880199</v>
      </c>
      <c r="Y99" s="2" cm="1">
        <f t="array" ref="Y99">+SUM(D99:W99*1000000)/1000000000</f>
        <v>1.7290621527304395</v>
      </c>
    </row>
    <row r="100" spans="1:25" x14ac:dyDescent="0.2">
      <c r="A100">
        <v>29</v>
      </c>
      <c r="B100">
        <f t="shared" si="1"/>
        <v>2044</v>
      </c>
      <c r="C100">
        <v>6004</v>
      </c>
      <c r="D100" s="3">
        <f t="shared" ref="D100:W100" si="24">+D61-D23</f>
        <v>0</v>
      </c>
      <c r="E100" s="3">
        <f t="shared" si="24"/>
        <v>0</v>
      </c>
      <c r="F100" s="3">
        <f t="shared" si="24"/>
        <v>0</v>
      </c>
      <c r="G100" s="3">
        <f t="shared" si="24"/>
        <v>0</v>
      </c>
      <c r="H100" s="3">
        <f t="shared" si="24"/>
        <v>0</v>
      </c>
      <c r="I100" s="3">
        <f t="shared" si="24"/>
        <v>0</v>
      </c>
      <c r="J100" s="3">
        <f t="shared" si="24"/>
        <v>72.731021079076598</v>
      </c>
      <c r="K100" s="3">
        <f t="shared" si="24"/>
        <v>0</v>
      </c>
      <c r="L100" s="3">
        <f t="shared" si="24"/>
        <v>-4862.3517273530706</v>
      </c>
      <c r="M100" s="3">
        <f t="shared" si="24"/>
        <v>0</v>
      </c>
      <c r="N100" s="3">
        <f t="shared" si="24"/>
        <v>-112.86642527952399</v>
      </c>
      <c r="O100" s="3">
        <f t="shared" si="24"/>
        <v>2354.93354317693</v>
      </c>
      <c r="P100" s="3">
        <f t="shared" si="24"/>
        <v>191.52334749361921</v>
      </c>
      <c r="Q100" s="3">
        <f t="shared" si="24"/>
        <v>0</v>
      </c>
      <c r="R100" s="3">
        <f t="shared" si="24"/>
        <v>0</v>
      </c>
      <c r="S100" s="3">
        <f t="shared" si="24"/>
        <v>0</v>
      </c>
      <c r="T100" s="3">
        <f t="shared" si="24"/>
        <v>-1003.40133486761</v>
      </c>
      <c r="U100" s="3">
        <f t="shared" si="24"/>
        <v>438.53187911655903</v>
      </c>
      <c r="V100" s="3">
        <f t="shared" si="24"/>
        <v>-4.6319230926370096</v>
      </c>
      <c r="W100" s="3">
        <f t="shared" si="24"/>
        <v>474.02469879748901</v>
      </c>
      <c r="Y100" s="2" cm="1">
        <f t="array" ref="Y100">+SUM(D100:W100*1000000)/1000000000</f>
        <v>-2.4515069209291669</v>
      </c>
    </row>
    <row r="101" spans="1:25" x14ac:dyDescent="0.2">
      <c r="A101">
        <v>30</v>
      </c>
      <c r="B101">
        <f t="shared" si="1"/>
        <v>2045</v>
      </c>
      <c r="C101">
        <v>6004</v>
      </c>
      <c r="D101" s="3">
        <f t="shared" ref="D101:W101" si="25">+D62-D24</f>
        <v>0</v>
      </c>
      <c r="E101" s="3">
        <f t="shared" si="25"/>
        <v>0</v>
      </c>
      <c r="F101" s="3">
        <f t="shared" si="25"/>
        <v>0</v>
      </c>
      <c r="G101" s="3">
        <f t="shared" si="25"/>
        <v>0</v>
      </c>
      <c r="H101" s="3">
        <f t="shared" si="25"/>
        <v>0</v>
      </c>
      <c r="I101" s="3">
        <f t="shared" si="25"/>
        <v>0</v>
      </c>
      <c r="J101" s="3">
        <f t="shared" si="25"/>
        <v>75.517928528597892</v>
      </c>
      <c r="K101" s="3">
        <f t="shared" si="25"/>
        <v>0</v>
      </c>
      <c r="L101" s="3">
        <f t="shared" si="25"/>
        <v>-165.12660405565001</v>
      </c>
      <c r="M101" s="3">
        <f t="shared" si="25"/>
        <v>0</v>
      </c>
      <c r="N101" s="3">
        <f t="shared" si="25"/>
        <v>-1540.5677294414299</v>
      </c>
      <c r="O101" s="3">
        <f t="shared" si="25"/>
        <v>2382.6486007415701</v>
      </c>
      <c r="P101" s="3">
        <f t="shared" si="25"/>
        <v>188.19143264632498</v>
      </c>
      <c r="Q101" s="3">
        <f t="shared" si="25"/>
        <v>0</v>
      </c>
      <c r="R101" s="3">
        <f t="shared" si="25"/>
        <v>96.192608724009915</v>
      </c>
      <c r="S101" s="3">
        <f t="shared" si="25"/>
        <v>0</v>
      </c>
      <c r="T101" s="3">
        <f t="shared" si="25"/>
        <v>-1892.7054291592799</v>
      </c>
      <c r="U101" s="3">
        <f t="shared" si="25"/>
        <v>428.29207164672994</v>
      </c>
      <c r="V101" s="3">
        <f t="shared" si="25"/>
        <v>-3.0666303821469683</v>
      </c>
      <c r="W101" s="3">
        <f t="shared" si="25"/>
        <v>1836.5097180477621</v>
      </c>
      <c r="Y101" s="2" cm="1">
        <f t="array" ref="Y101">+SUM(D101:W101*1000000)/1000000000</f>
        <v>1.4058859672964883</v>
      </c>
    </row>
    <row r="102" spans="1:25" x14ac:dyDescent="0.2">
      <c r="A102">
        <v>31</v>
      </c>
      <c r="B102">
        <f t="shared" si="1"/>
        <v>2046</v>
      </c>
      <c r="C102">
        <v>6004</v>
      </c>
      <c r="D102" s="3">
        <f t="shared" ref="D102:W102" si="26">+D63-D25</f>
        <v>0</v>
      </c>
      <c r="E102" s="3">
        <f t="shared" si="26"/>
        <v>0</v>
      </c>
      <c r="F102" s="3">
        <f t="shared" si="26"/>
        <v>0</v>
      </c>
      <c r="G102" s="3">
        <f t="shared" si="26"/>
        <v>0</v>
      </c>
      <c r="H102" s="3">
        <f t="shared" si="26"/>
        <v>0</v>
      </c>
      <c r="I102" s="3">
        <f t="shared" si="26"/>
        <v>0</v>
      </c>
      <c r="J102" s="3">
        <f t="shared" si="26"/>
        <v>89.859213271687693</v>
      </c>
      <c r="K102" s="3">
        <f t="shared" si="26"/>
        <v>0</v>
      </c>
      <c r="L102" s="3">
        <f t="shared" si="26"/>
        <v>-168.111521153468</v>
      </c>
      <c r="M102" s="3">
        <f t="shared" si="26"/>
        <v>0</v>
      </c>
      <c r="N102" s="3">
        <f t="shared" si="26"/>
        <v>-116.525767002655</v>
      </c>
      <c r="O102" s="3">
        <f t="shared" si="26"/>
        <v>2400.5316837721102</v>
      </c>
      <c r="P102" s="3">
        <f t="shared" si="26"/>
        <v>184.1091746183597</v>
      </c>
      <c r="Q102" s="3">
        <f t="shared" si="26"/>
        <v>0</v>
      </c>
      <c r="R102" s="3">
        <f t="shared" si="26"/>
        <v>0</v>
      </c>
      <c r="S102" s="3">
        <f t="shared" si="26"/>
        <v>0</v>
      </c>
      <c r="T102" s="3">
        <f t="shared" si="26"/>
        <v>-677.38927086803903</v>
      </c>
      <c r="U102" s="3">
        <f t="shared" si="26"/>
        <v>416.36541072930697</v>
      </c>
      <c r="V102" s="3">
        <f t="shared" si="26"/>
        <v>-1.2022690316579769</v>
      </c>
      <c r="W102" s="3">
        <f t="shared" si="26"/>
        <v>44.897136133369031</v>
      </c>
      <c r="Y102" s="2" cm="1">
        <f t="array" ref="Y102">+SUM(D102:W102*1000000)/1000000000</f>
        <v>2.1725337904690138</v>
      </c>
    </row>
    <row r="103" spans="1:25" x14ac:dyDescent="0.2">
      <c r="A103">
        <v>32</v>
      </c>
      <c r="B103">
        <f t="shared" si="1"/>
        <v>2047</v>
      </c>
      <c r="C103">
        <v>6004</v>
      </c>
      <c r="D103" s="3">
        <f t="shared" ref="D103:W103" si="27">+D64-D26</f>
        <v>0</v>
      </c>
      <c r="E103" s="3">
        <f t="shared" si="27"/>
        <v>0</v>
      </c>
      <c r="F103" s="3">
        <f t="shared" si="27"/>
        <v>0</v>
      </c>
      <c r="G103" s="3">
        <f t="shared" si="27"/>
        <v>0</v>
      </c>
      <c r="H103" s="3">
        <f t="shared" si="27"/>
        <v>0</v>
      </c>
      <c r="I103" s="3">
        <f t="shared" si="27"/>
        <v>0</v>
      </c>
      <c r="J103" s="3">
        <f t="shared" si="27"/>
        <v>94.2239706501189</v>
      </c>
      <c r="K103" s="3">
        <f t="shared" si="27"/>
        <v>0</v>
      </c>
      <c r="L103" s="3">
        <f t="shared" si="27"/>
        <v>-172.128173016978</v>
      </c>
      <c r="M103" s="3">
        <f t="shared" si="27"/>
        <v>0</v>
      </c>
      <c r="N103" s="3">
        <f t="shared" si="27"/>
        <v>-245.040980123205</v>
      </c>
      <c r="O103" s="3">
        <f t="shared" si="27"/>
        <v>2415.9379549988698</v>
      </c>
      <c r="P103" s="3">
        <f t="shared" si="27"/>
        <v>179.82356483881819</v>
      </c>
      <c r="Q103" s="3">
        <f t="shared" si="27"/>
        <v>0</v>
      </c>
      <c r="R103" s="3">
        <f t="shared" si="27"/>
        <v>0</v>
      </c>
      <c r="S103" s="3">
        <f t="shared" si="27"/>
        <v>0</v>
      </c>
      <c r="T103" s="3">
        <f t="shared" si="27"/>
        <v>-1283.62213779944</v>
      </c>
      <c r="U103" s="3">
        <f t="shared" si="27"/>
        <v>403.85892847982996</v>
      </c>
      <c r="V103" s="3">
        <f t="shared" si="27"/>
        <v>0.366797790335049</v>
      </c>
      <c r="W103" s="3">
        <f t="shared" si="27"/>
        <v>317.289333166056</v>
      </c>
      <c r="Y103" s="2" cm="1">
        <f t="array" ref="Y103">+SUM(D103:W103*1000000)/1000000000</f>
        <v>1.7107092589844048</v>
      </c>
    </row>
    <row r="104" spans="1:25" x14ac:dyDescent="0.2">
      <c r="A104">
        <v>33</v>
      </c>
      <c r="B104">
        <f t="shared" ref="B104:B116" si="28">+A104+2015</f>
        <v>2048</v>
      </c>
      <c r="C104">
        <v>6004</v>
      </c>
      <c r="D104" s="3">
        <f t="shared" ref="D104:W104" si="29">+D65-D27</f>
        <v>0</v>
      </c>
      <c r="E104" s="3">
        <f t="shared" si="29"/>
        <v>0</v>
      </c>
      <c r="F104" s="3">
        <f t="shared" si="29"/>
        <v>0</v>
      </c>
      <c r="G104" s="3">
        <f t="shared" si="29"/>
        <v>0</v>
      </c>
      <c r="H104" s="3">
        <f t="shared" si="29"/>
        <v>0</v>
      </c>
      <c r="I104" s="3">
        <f t="shared" si="29"/>
        <v>0</v>
      </c>
      <c r="J104" s="3">
        <f t="shared" si="29"/>
        <v>101.098759407638</v>
      </c>
      <c r="K104" s="3">
        <f t="shared" si="29"/>
        <v>0</v>
      </c>
      <c r="L104" s="3">
        <f t="shared" si="29"/>
        <v>-177.3409584039</v>
      </c>
      <c r="M104" s="3">
        <f t="shared" si="29"/>
        <v>0</v>
      </c>
      <c r="N104" s="3">
        <f t="shared" si="29"/>
        <v>-274.30072308115598</v>
      </c>
      <c r="O104" s="3">
        <f t="shared" si="29"/>
        <v>2430.6250197660502</v>
      </c>
      <c r="P104" s="3">
        <f t="shared" si="29"/>
        <v>175.51403283835342</v>
      </c>
      <c r="Q104" s="3">
        <f t="shared" si="29"/>
        <v>0</v>
      </c>
      <c r="R104" s="3">
        <f t="shared" si="29"/>
        <v>0</v>
      </c>
      <c r="S104" s="3">
        <f t="shared" si="29"/>
        <v>0</v>
      </c>
      <c r="T104" s="3">
        <f t="shared" si="29"/>
        <v>0</v>
      </c>
      <c r="U104" s="3">
        <f t="shared" si="29"/>
        <v>391.26517940183396</v>
      </c>
      <c r="V104" s="3">
        <f t="shared" si="29"/>
        <v>1.3304861436547699</v>
      </c>
      <c r="W104" s="3">
        <f t="shared" si="29"/>
        <v>19.875156617777975</v>
      </c>
      <c r="Y104" s="2" cm="1">
        <f t="array" ref="Y104">+SUM(D104:W104*1000000)/1000000000</f>
        <v>2.668066952690253</v>
      </c>
    </row>
    <row r="105" spans="1:25" x14ac:dyDescent="0.2">
      <c r="A105">
        <v>34</v>
      </c>
      <c r="B105">
        <f t="shared" si="28"/>
        <v>2049</v>
      </c>
      <c r="C105">
        <v>6004</v>
      </c>
      <c r="D105" s="3">
        <f t="shared" ref="D105:W105" si="30">+D66-D28</f>
        <v>0</v>
      </c>
      <c r="E105" s="3">
        <f t="shared" si="30"/>
        <v>0</v>
      </c>
      <c r="F105" s="3">
        <f t="shared" si="30"/>
        <v>0</v>
      </c>
      <c r="G105" s="3">
        <f t="shared" si="30"/>
        <v>0</v>
      </c>
      <c r="H105" s="3">
        <f t="shared" si="30"/>
        <v>0</v>
      </c>
      <c r="I105" s="3">
        <f t="shared" si="30"/>
        <v>0</v>
      </c>
      <c r="J105" s="3">
        <f t="shared" si="30"/>
        <v>111.72142871033751</v>
      </c>
      <c r="K105" s="3">
        <f t="shared" si="30"/>
        <v>0</v>
      </c>
      <c r="L105" s="3">
        <f t="shared" si="30"/>
        <v>-184.13438055661899</v>
      </c>
      <c r="M105" s="3">
        <f t="shared" si="30"/>
        <v>0</v>
      </c>
      <c r="N105" s="3">
        <f t="shared" si="30"/>
        <v>-284.84189987398202</v>
      </c>
      <c r="O105" s="3">
        <f t="shared" si="30"/>
        <v>2452.0769853424999</v>
      </c>
      <c r="P105" s="3">
        <f t="shared" si="30"/>
        <v>171.317341579974</v>
      </c>
      <c r="Q105" s="3">
        <f t="shared" si="30"/>
        <v>0</v>
      </c>
      <c r="R105" s="3">
        <f t="shared" si="30"/>
        <v>0</v>
      </c>
      <c r="S105" s="3">
        <f t="shared" si="30"/>
        <v>0</v>
      </c>
      <c r="T105" s="3">
        <f t="shared" si="30"/>
        <v>-1072.0387847008701</v>
      </c>
      <c r="U105" s="3">
        <f t="shared" si="30"/>
        <v>378.89688145411799</v>
      </c>
      <c r="V105" s="3">
        <f t="shared" si="30"/>
        <v>0</v>
      </c>
      <c r="W105" s="3">
        <f t="shared" si="30"/>
        <v>1165.5219137693421</v>
      </c>
      <c r="Y105" s="2" cm="1">
        <f t="array" ref="Y105">+SUM(D105:W105*1000000)/1000000000</f>
        <v>2.7385194857248001</v>
      </c>
    </row>
    <row r="106" spans="1:25" x14ac:dyDescent="0.2">
      <c r="A106">
        <v>35</v>
      </c>
      <c r="B106">
        <f t="shared" si="28"/>
        <v>2050</v>
      </c>
      <c r="C106">
        <v>6004</v>
      </c>
      <c r="D106" s="3">
        <f t="shared" ref="D106:W106" si="31">+D67-D29</f>
        <v>0</v>
      </c>
      <c r="E106" s="3">
        <f t="shared" si="31"/>
        <v>0</v>
      </c>
      <c r="F106" s="3">
        <f t="shared" si="31"/>
        <v>0</v>
      </c>
      <c r="G106" s="3">
        <f t="shared" si="31"/>
        <v>0</v>
      </c>
      <c r="H106" s="3">
        <f t="shared" si="31"/>
        <v>0</v>
      </c>
      <c r="I106" s="3">
        <f t="shared" si="31"/>
        <v>0</v>
      </c>
      <c r="J106" s="3">
        <f t="shared" si="31"/>
        <v>118.1013475704796</v>
      </c>
      <c r="K106" s="3">
        <f t="shared" si="31"/>
        <v>0</v>
      </c>
      <c r="L106" s="3">
        <f t="shared" si="31"/>
        <v>-191.88236287865601</v>
      </c>
      <c r="M106" s="3">
        <f t="shared" si="31"/>
        <v>0</v>
      </c>
      <c r="N106" s="3">
        <f t="shared" si="31"/>
        <v>-296.86391415958002</v>
      </c>
      <c r="O106" s="3">
        <f t="shared" si="31"/>
        <v>2455.72650092808</v>
      </c>
      <c r="P106" s="3">
        <f t="shared" si="31"/>
        <v>167.0861920038281</v>
      </c>
      <c r="Q106" s="3">
        <f t="shared" si="31"/>
        <v>0</v>
      </c>
      <c r="R106" s="3">
        <f t="shared" si="31"/>
        <v>0</v>
      </c>
      <c r="S106" s="3">
        <f t="shared" si="31"/>
        <v>0</v>
      </c>
      <c r="T106" s="3">
        <f t="shared" si="31"/>
        <v>0</v>
      </c>
      <c r="U106" s="3">
        <f t="shared" si="31"/>
        <v>415.27816890795299</v>
      </c>
      <c r="V106" s="3">
        <f t="shared" si="31"/>
        <v>0</v>
      </c>
      <c r="W106" s="3">
        <f t="shared" si="31"/>
        <v>1350.0423099598349</v>
      </c>
      <c r="Y106" s="2" cm="1">
        <f t="array" ref="Y106">+SUM(D106:W106*1000000)/1000000000</f>
        <v>4.0174882423319396</v>
      </c>
    </row>
    <row r="107" spans="1:25" x14ac:dyDescent="0.2">
      <c r="A107">
        <v>36</v>
      </c>
      <c r="B107">
        <f t="shared" si="28"/>
        <v>2051</v>
      </c>
      <c r="C107">
        <v>6004</v>
      </c>
      <c r="D107" s="3">
        <f t="shared" ref="D107:W107" si="32">+D68-D30</f>
        <v>0</v>
      </c>
      <c r="E107" s="3">
        <f t="shared" si="32"/>
        <v>0</v>
      </c>
      <c r="F107" s="3">
        <f t="shared" si="32"/>
        <v>0</v>
      </c>
      <c r="G107" s="3">
        <f t="shared" si="32"/>
        <v>0</v>
      </c>
      <c r="H107" s="3">
        <f t="shared" si="32"/>
        <v>0</v>
      </c>
      <c r="I107" s="3">
        <f t="shared" si="32"/>
        <v>0</v>
      </c>
      <c r="J107" s="3">
        <f t="shared" si="32"/>
        <v>121.4927974305327</v>
      </c>
      <c r="K107" s="3">
        <f t="shared" si="32"/>
        <v>0</v>
      </c>
      <c r="L107" s="3">
        <f t="shared" si="32"/>
        <v>-221.53091004096399</v>
      </c>
      <c r="M107" s="3">
        <f t="shared" si="32"/>
        <v>0</v>
      </c>
      <c r="N107" s="3">
        <f t="shared" si="32"/>
        <v>-343.06680517638199</v>
      </c>
      <c r="O107" s="3">
        <f t="shared" si="32"/>
        <v>4430.9905649106104</v>
      </c>
      <c r="P107" s="3">
        <f t="shared" si="32"/>
        <v>168.70370778538089</v>
      </c>
      <c r="Q107" s="3">
        <f t="shared" si="32"/>
        <v>0</v>
      </c>
      <c r="R107" s="3">
        <f t="shared" si="32"/>
        <v>0</v>
      </c>
      <c r="S107" s="3">
        <f t="shared" si="32"/>
        <v>0</v>
      </c>
      <c r="T107" s="3">
        <f t="shared" si="32"/>
        <v>0</v>
      </c>
      <c r="U107" s="3">
        <f t="shared" si="32"/>
        <v>315.40353553784701</v>
      </c>
      <c r="V107" s="3">
        <f t="shared" si="32"/>
        <v>0</v>
      </c>
      <c r="W107" s="3">
        <f t="shared" si="32"/>
        <v>1553.3945701702721</v>
      </c>
      <c r="Y107" s="2" cm="1">
        <f t="array" ref="Y107">+SUM(D107:W107*1000000)/1000000000</f>
        <v>6.0253874606172966</v>
      </c>
    </row>
    <row r="108" spans="1:25" x14ac:dyDescent="0.2">
      <c r="A108">
        <v>37</v>
      </c>
      <c r="B108">
        <f t="shared" si="28"/>
        <v>2052</v>
      </c>
      <c r="C108">
        <v>6004</v>
      </c>
      <c r="D108" s="3">
        <f t="shared" ref="D108:W108" si="33">+D69-D31</f>
        <v>0</v>
      </c>
      <c r="E108" s="3">
        <f t="shared" si="33"/>
        <v>0</v>
      </c>
      <c r="F108" s="3">
        <f t="shared" si="33"/>
        <v>0</v>
      </c>
      <c r="G108" s="3">
        <f t="shared" si="33"/>
        <v>0</v>
      </c>
      <c r="H108" s="3">
        <f t="shared" si="33"/>
        <v>0</v>
      </c>
      <c r="I108" s="3">
        <f t="shared" si="33"/>
        <v>0</v>
      </c>
      <c r="J108" s="3">
        <f t="shared" si="33"/>
        <v>127.8156715313584</v>
      </c>
      <c r="K108" s="3">
        <f t="shared" si="33"/>
        <v>0</v>
      </c>
      <c r="L108" s="3">
        <f t="shared" si="33"/>
        <v>-222.163010440627</v>
      </c>
      <c r="M108" s="3">
        <f t="shared" si="33"/>
        <v>0</v>
      </c>
      <c r="N108" s="3">
        <f t="shared" si="33"/>
        <v>-344.04106333031302</v>
      </c>
      <c r="O108" s="3">
        <f t="shared" si="33"/>
        <v>4406.8746342140403</v>
      </c>
      <c r="P108" s="3">
        <f t="shared" si="33"/>
        <v>165.84754115770892</v>
      </c>
      <c r="Q108" s="3">
        <f t="shared" si="33"/>
        <v>0</v>
      </c>
      <c r="R108" s="3">
        <f t="shared" si="33"/>
        <v>0</v>
      </c>
      <c r="S108" s="3">
        <f t="shared" si="33"/>
        <v>0</v>
      </c>
      <c r="T108" s="3">
        <f t="shared" si="33"/>
        <v>-615.785617786481</v>
      </c>
      <c r="U108" s="3">
        <f t="shared" si="33"/>
        <v>385.04921017193988</v>
      </c>
      <c r="V108" s="3">
        <f t="shared" si="33"/>
        <v>0</v>
      </c>
      <c r="W108" s="3">
        <f t="shared" si="33"/>
        <v>2399.461856512336</v>
      </c>
      <c r="Y108" s="2" cm="1">
        <f t="array" ref="Y108">+SUM(D108:W108*1000000)/1000000000</f>
        <v>6.3030592220299626</v>
      </c>
    </row>
    <row r="109" spans="1:25" x14ac:dyDescent="0.2">
      <c r="A109">
        <v>38</v>
      </c>
      <c r="B109">
        <f t="shared" si="28"/>
        <v>2053</v>
      </c>
      <c r="C109">
        <v>6004</v>
      </c>
      <c r="D109" s="3">
        <f t="shared" ref="D109:W109" si="34">+D70-D32</f>
        <v>0</v>
      </c>
      <c r="E109" s="3">
        <f t="shared" si="34"/>
        <v>0</v>
      </c>
      <c r="F109" s="3">
        <f t="shared" si="34"/>
        <v>0</v>
      </c>
      <c r="G109" s="3">
        <f t="shared" si="34"/>
        <v>0</v>
      </c>
      <c r="H109" s="3">
        <f t="shared" si="34"/>
        <v>0</v>
      </c>
      <c r="I109" s="3">
        <f t="shared" si="34"/>
        <v>0</v>
      </c>
      <c r="J109" s="3">
        <f t="shared" si="34"/>
        <v>134.12497026690758</v>
      </c>
      <c r="K109" s="3">
        <f t="shared" si="34"/>
        <v>0</v>
      </c>
      <c r="L109" s="3">
        <f t="shared" si="34"/>
        <v>-220.51064262609</v>
      </c>
      <c r="M109" s="3">
        <f t="shared" si="34"/>
        <v>0</v>
      </c>
      <c r="N109" s="3">
        <f t="shared" si="34"/>
        <v>-1091.3765607024</v>
      </c>
      <c r="O109" s="3">
        <f t="shared" si="34"/>
        <v>4743.7065280158904</v>
      </c>
      <c r="P109" s="3">
        <f t="shared" si="34"/>
        <v>244.22456254547939</v>
      </c>
      <c r="Q109" s="3">
        <f t="shared" si="34"/>
        <v>0</v>
      </c>
      <c r="R109" s="3">
        <f t="shared" si="34"/>
        <v>0</v>
      </c>
      <c r="S109" s="3">
        <f t="shared" si="34"/>
        <v>0</v>
      </c>
      <c r="T109" s="3">
        <f t="shared" si="34"/>
        <v>0</v>
      </c>
      <c r="U109" s="3">
        <f t="shared" si="34"/>
        <v>310.77544812159402</v>
      </c>
      <c r="V109" s="3">
        <f t="shared" si="34"/>
        <v>0</v>
      </c>
      <c r="W109" s="3">
        <f t="shared" si="34"/>
        <v>6262.7373584057095</v>
      </c>
      <c r="Y109" s="2" cm="1">
        <f t="array" ref="Y109">+SUM(D109:W109*1000000)/1000000000</f>
        <v>10.38368166402709</v>
      </c>
    </row>
    <row r="110" spans="1:25" x14ac:dyDescent="0.2">
      <c r="A110">
        <v>39</v>
      </c>
      <c r="B110">
        <f t="shared" si="28"/>
        <v>2054</v>
      </c>
      <c r="C110">
        <v>6004</v>
      </c>
      <c r="D110" s="3">
        <f t="shared" ref="D110:W110" si="35">+D71-D33</f>
        <v>0</v>
      </c>
      <c r="E110" s="3">
        <f t="shared" si="35"/>
        <v>0</v>
      </c>
      <c r="F110" s="3">
        <f t="shared" si="35"/>
        <v>0</v>
      </c>
      <c r="G110" s="3">
        <f t="shared" si="35"/>
        <v>0</v>
      </c>
      <c r="H110" s="3">
        <f t="shared" si="35"/>
        <v>0</v>
      </c>
      <c r="I110" s="3">
        <f t="shared" si="35"/>
        <v>0</v>
      </c>
      <c r="J110" s="3">
        <f t="shared" si="35"/>
        <v>140.55511283599751</v>
      </c>
      <c r="K110" s="3">
        <f t="shared" si="35"/>
        <v>0</v>
      </c>
      <c r="L110" s="3">
        <f t="shared" si="35"/>
        <v>-218.86191295341899</v>
      </c>
      <c r="M110" s="3">
        <f t="shared" si="35"/>
        <v>0</v>
      </c>
      <c r="N110" s="3">
        <f t="shared" si="35"/>
        <v>-884.48189791480195</v>
      </c>
      <c r="O110" s="3">
        <f t="shared" si="35"/>
        <v>3292.8036095521202</v>
      </c>
      <c r="P110" s="3">
        <f t="shared" si="35"/>
        <v>74.701663746390196</v>
      </c>
      <c r="Q110" s="3">
        <f t="shared" si="35"/>
        <v>0</v>
      </c>
      <c r="R110" s="3">
        <f t="shared" si="35"/>
        <v>0</v>
      </c>
      <c r="S110" s="3">
        <f t="shared" si="35"/>
        <v>0</v>
      </c>
      <c r="T110" s="3">
        <f t="shared" si="35"/>
        <v>0</v>
      </c>
      <c r="U110" s="3">
        <f t="shared" si="35"/>
        <v>990.40567294399</v>
      </c>
      <c r="V110" s="3">
        <f t="shared" si="35"/>
        <v>0</v>
      </c>
      <c r="W110" s="3">
        <f t="shared" si="35"/>
        <v>-254.14463291858499</v>
      </c>
      <c r="Y110" s="2" cm="1">
        <f t="array" ref="Y110">+SUM(D110:W110*1000000)/1000000000</f>
        <v>3.1409776152916917</v>
      </c>
    </row>
    <row r="111" spans="1:25" x14ac:dyDescent="0.2">
      <c r="A111">
        <v>40</v>
      </c>
      <c r="B111">
        <f t="shared" si="28"/>
        <v>2055</v>
      </c>
      <c r="C111">
        <v>6004</v>
      </c>
      <c r="D111" s="3">
        <f t="shared" ref="D111:W111" si="36">+D72-D34</f>
        <v>0</v>
      </c>
      <c r="E111" s="3">
        <f t="shared" si="36"/>
        <v>0</v>
      </c>
      <c r="F111" s="3">
        <f t="shared" si="36"/>
        <v>0</v>
      </c>
      <c r="G111" s="3">
        <f t="shared" si="36"/>
        <v>0</v>
      </c>
      <c r="H111" s="3">
        <f t="shared" si="36"/>
        <v>0</v>
      </c>
      <c r="I111" s="3">
        <f t="shared" si="36"/>
        <v>0</v>
      </c>
      <c r="J111" s="3">
        <f t="shared" si="36"/>
        <v>286.02869930994302</v>
      </c>
      <c r="K111" s="3">
        <f t="shared" si="36"/>
        <v>0</v>
      </c>
      <c r="L111" s="3">
        <f t="shared" si="36"/>
        <v>-215.14723148629599</v>
      </c>
      <c r="M111" s="3">
        <f t="shared" si="36"/>
        <v>0</v>
      </c>
      <c r="N111" s="3">
        <f t="shared" si="36"/>
        <v>-390.39500259127601</v>
      </c>
      <c r="O111" s="3">
        <f t="shared" si="36"/>
        <v>8645.7984125228195</v>
      </c>
      <c r="P111" s="3">
        <f t="shared" si="36"/>
        <v>451.74742405350304</v>
      </c>
      <c r="Q111" s="3">
        <f t="shared" si="36"/>
        <v>0</v>
      </c>
      <c r="R111" s="3">
        <f t="shared" si="36"/>
        <v>0</v>
      </c>
      <c r="S111" s="3">
        <f t="shared" si="36"/>
        <v>0</v>
      </c>
      <c r="T111" s="3">
        <f t="shared" si="36"/>
        <v>-638.40015703812605</v>
      </c>
      <c r="U111" s="3">
        <f t="shared" si="36"/>
        <v>-195.72015872645099</v>
      </c>
      <c r="V111" s="3">
        <f t="shared" si="36"/>
        <v>0</v>
      </c>
      <c r="W111" s="3">
        <f t="shared" si="36"/>
        <v>-3567.0603151042101</v>
      </c>
      <c r="Y111" s="2" cm="1">
        <f t="array" ref="Y111">+SUM(D111:W111*1000000)/1000000000</f>
        <v>4.3768516709399057</v>
      </c>
    </row>
    <row r="112" spans="1:25" x14ac:dyDescent="0.2">
      <c r="A112">
        <v>41</v>
      </c>
      <c r="B112">
        <f t="shared" si="28"/>
        <v>2056</v>
      </c>
      <c r="C112">
        <v>6004</v>
      </c>
      <c r="D112" s="3">
        <f t="shared" ref="D112:W112" si="37">+D73-D35</f>
        <v>0</v>
      </c>
      <c r="E112" s="3">
        <f t="shared" si="37"/>
        <v>0</v>
      </c>
      <c r="F112" s="3">
        <f t="shared" si="37"/>
        <v>0</v>
      </c>
      <c r="G112" s="3">
        <f t="shared" si="37"/>
        <v>0</v>
      </c>
      <c r="H112" s="3">
        <f t="shared" si="37"/>
        <v>0</v>
      </c>
      <c r="I112" s="3">
        <f t="shared" si="37"/>
        <v>0</v>
      </c>
      <c r="J112" s="3">
        <f t="shared" si="37"/>
        <v>160.85983072769932</v>
      </c>
      <c r="K112" s="3">
        <f t="shared" si="37"/>
        <v>0</v>
      </c>
      <c r="L112" s="3">
        <f t="shared" si="37"/>
        <v>-211.68102596453099</v>
      </c>
      <c r="M112" s="3">
        <f t="shared" si="37"/>
        <v>0</v>
      </c>
      <c r="N112" s="3">
        <f t="shared" si="37"/>
        <v>-394.61956444165702</v>
      </c>
      <c r="O112" s="3">
        <f t="shared" si="37"/>
        <v>3000.5253778443798</v>
      </c>
      <c r="P112" s="3">
        <f t="shared" si="37"/>
        <v>51.469601402969005</v>
      </c>
      <c r="Q112" s="3">
        <f t="shared" si="37"/>
        <v>0</v>
      </c>
      <c r="R112" s="3">
        <f t="shared" si="37"/>
        <v>0</v>
      </c>
      <c r="S112" s="3">
        <f t="shared" si="37"/>
        <v>0</v>
      </c>
      <c r="T112" s="3">
        <f t="shared" si="37"/>
        <v>0</v>
      </c>
      <c r="U112" s="3">
        <f t="shared" si="37"/>
        <v>922.72996329110902</v>
      </c>
      <c r="V112" s="3">
        <f t="shared" si="37"/>
        <v>0</v>
      </c>
      <c r="W112" s="3">
        <f t="shared" si="37"/>
        <v>-217.799858423101</v>
      </c>
      <c r="Y112" s="2" cm="1">
        <f t="array" ref="Y112">+SUM(D112:W112*1000000)/1000000000</f>
        <v>3.3114843244368681</v>
      </c>
    </row>
    <row r="113" spans="1:25" x14ac:dyDescent="0.2">
      <c r="A113">
        <v>42</v>
      </c>
      <c r="B113">
        <f t="shared" si="28"/>
        <v>2057</v>
      </c>
      <c r="C113">
        <v>6004</v>
      </c>
      <c r="D113" s="3">
        <f t="shared" ref="D113:W113" si="38">+D74-D36</f>
        <v>0</v>
      </c>
      <c r="E113" s="3">
        <f t="shared" si="38"/>
        <v>0</v>
      </c>
      <c r="F113" s="3">
        <f t="shared" si="38"/>
        <v>0</v>
      </c>
      <c r="G113" s="3">
        <f t="shared" si="38"/>
        <v>0</v>
      </c>
      <c r="H113" s="3">
        <f t="shared" si="38"/>
        <v>0</v>
      </c>
      <c r="I113" s="3">
        <f t="shared" si="38"/>
        <v>0</v>
      </c>
      <c r="J113" s="3">
        <f t="shared" si="38"/>
        <v>167.65813132301412</v>
      </c>
      <c r="K113" s="3">
        <f t="shared" si="38"/>
        <v>0</v>
      </c>
      <c r="L113" s="3">
        <f t="shared" si="38"/>
        <v>-209.58903961482301</v>
      </c>
      <c r="M113" s="3">
        <f t="shared" si="38"/>
        <v>0</v>
      </c>
      <c r="N113" s="3">
        <f t="shared" si="38"/>
        <v>-758.08173403054298</v>
      </c>
      <c r="O113" s="3">
        <f t="shared" si="38"/>
        <v>2858.62933928038</v>
      </c>
      <c r="P113" s="3">
        <f t="shared" si="38"/>
        <v>651.77956329217136</v>
      </c>
      <c r="Q113" s="3">
        <f t="shared" si="38"/>
        <v>0</v>
      </c>
      <c r="R113" s="3">
        <f t="shared" si="38"/>
        <v>0</v>
      </c>
      <c r="S113" s="3">
        <f t="shared" si="38"/>
        <v>0</v>
      </c>
      <c r="T113" s="3">
        <f t="shared" si="38"/>
        <v>0</v>
      </c>
      <c r="U113" s="3">
        <f t="shared" si="38"/>
        <v>283.45835560912099</v>
      </c>
      <c r="V113" s="3">
        <f t="shared" si="38"/>
        <v>0</v>
      </c>
      <c r="W113" s="3">
        <f t="shared" si="38"/>
        <v>-236.321686958128</v>
      </c>
      <c r="Y113" s="2" cm="1">
        <f t="array" ref="Y113">+SUM(D113:W113*1000000)/1000000000</f>
        <v>2.7575329289011923</v>
      </c>
    </row>
    <row r="114" spans="1:25" x14ac:dyDescent="0.2">
      <c r="A114">
        <v>43</v>
      </c>
      <c r="B114">
        <f t="shared" si="28"/>
        <v>2058</v>
      </c>
      <c r="C114">
        <v>6004</v>
      </c>
      <c r="D114" s="3">
        <f t="shared" ref="D114:W114" si="39">+D75-D37</f>
        <v>0</v>
      </c>
      <c r="E114" s="3">
        <f t="shared" si="39"/>
        <v>0</v>
      </c>
      <c r="F114" s="3">
        <f t="shared" si="39"/>
        <v>0</v>
      </c>
      <c r="G114" s="3">
        <f t="shared" si="39"/>
        <v>0</v>
      </c>
      <c r="H114" s="3">
        <f t="shared" si="39"/>
        <v>0</v>
      </c>
      <c r="I114" s="3">
        <f t="shared" si="39"/>
        <v>0</v>
      </c>
      <c r="J114" s="3">
        <f t="shared" si="39"/>
        <v>191.90356396572091</v>
      </c>
      <c r="K114" s="3">
        <f t="shared" si="39"/>
        <v>0</v>
      </c>
      <c r="L114" s="3">
        <f t="shared" si="39"/>
        <v>-1049.9051799781</v>
      </c>
      <c r="M114" s="3">
        <f t="shared" si="39"/>
        <v>0</v>
      </c>
      <c r="N114" s="3">
        <f t="shared" si="39"/>
        <v>-1219.19156693126</v>
      </c>
      <c r="O114" s="3">
        <f t="shared" si="39"/>
        <v>2626.3072309480699</v>
      </c>
      <c r="P114" s="3">
        <f t="shared" si="39"/>
        <v>802.1333868563429</v>
      </c>
      <c r="Q114" s="3">
        <f t="shared" si="39"/>
        <v>0</v>
      </c>
      <c r="R114" s="3">
        <f t="shared" si="39"/>
        <v>0</v>
      </c>
      <c r="S114" s="3">
        <f t="shared" si="39"/>
        <v>0</v>
      </c>
      <c r="T114" s="3">
        <f t="shared" si="39"/>
        <v>-164.633031731817</v>
      </c>
      <c r="U114" s="3">
        <f t="shared" si="39"/>
        <v>2489.6774923226099</v>
      </c>
      <c r="V114" s="3">
        <f t="shared" si="39"/>
        <v>0</v>
      </c>
      <c r="W114" s="3">
        <f t="shared" si="39"/>
        <v>-66.703787869358806</v>
      </c>
      <c r="Y114" s="2" cm="1">
        <f t="array" ref="Y114">+SUM(D114:W114*1000000)/1000000000</f>
        <v>3.6095881075822076</v>
      </c>
    </row>
    <row r="115" spans="1:25" x14ac:dyDescent="0.2">
      <c r="A115">
        <v>44</v>
      </c>
      <c r="B115">
        <f t="shared" si="28"/>
        <v>2059</v>
      </c>
      <c r="C115">
        <v>6004</v>
      </c>
      <c r="D115" s="3">
        <f t="shared" ref="D115:W115" si="40">+D76-D38</f>
        <v>0</v>
      </c>
      <c r="E115" s="3">
        <f t="shared" si="40"/>
        <v>0</v>
      </c>
      <c r="F115" s="3">
        <f t="shared" si="40"/>
        <v>0</v>
      </c>
      <c r="G115" s="3">
        <f t="shared" si="40"/>
        <v>0</v>
      </c>
      <c r="H115" s="3">
        <f t="shared" si="40"/>
        <v>0</v>
      </c>
      <c r="I115" s="3">
        <f t="shared" si="40"/>
        <v>0</v>
      </c>
      <c r="J115" s="3">
        <f t="shared" si="40"/>
        <v>-24.545590845254001</v>
      </c>
      <c r="K115" s="3">
        <f t="shared" si="40"/>
        <v>0</v>
      </c>
      <c r="L115" s="3">
        <f t="shared" si="40"/>
        <v>-281.30418694310998</v>
      </c>
      <c r="M115" s="3">
        <f t="shared" si="40"/>
        <v>0</v>
      </c>
      <c r="N115" s="3">
        <f t="shared" si="40"/>
        <v>-432.23401317220402</v>
      </c>
      <c r="O115" s="3">
        <f t="shared" si="40"/>
        <v>3583.58617503503</v>
      </c>
      <c r="P115" s="3">
        <f t="shared" si="40"/>
        <v>648.70891312765093</v>
      </c>
      <c r="Q115" s="3">
        <f t="shared" si="40"/>
        <v>0</v>
      </c>
      <c r="R115" s="3">
        <f t="shared" si="40"/>
        <v>0</v>
      </c>
      <c r="S115" s="3">
        <f t="shared" si="40"/>
        <v>0</v>
      </c>
      <c r="T115" s="3">
        <f t="shared" si="40"/>
        <v>-186.62654774427401</v>
      </c>
      <c r="U115" s="3">
        <f t="shared" si="40"/>
        <v>1307.326754520755</v>
      </c>
      <c r="V115" s="3">
        <f t="shared" si="40"/>
        <v>0</v>
      </c>
      <c r="W115" s="3">
        <f t="shared" si="40"/>
        <v>-156.78262163871301</v>
      </c>
      <c r="Y115" s="2" cm="1">
        <f t="array" ref="Y115">+SUM(D115:W115*1000000)/1000000000</f>
        <v>4.4581288823398806</v>
      </c>
    </row>
    <row r="116" spans="1:25" x14ac:dyDescent="0.2">
      <c r="A116">
        <v>45</v>
      </c>
      <c r="B116">
        <f t="shared" si="28"/>
        <v>2060</v>
      </c>
      <c r="C116">
        <v>6004</v>
      </c>
      <c r="D116" s="3">
        <f t="shared" ref="D116:W116" si="41">+D77-D39</f>
        <v>0</v>
      </c>
      <c r="E116" s="3">
        <f t="shared" si="41"/>
        <v>0</v>
      </c>
      <c r="F116" s="3">
        <f t="shared" si="41"/>
        <v>0</v>
      </c>
      <c r="G116" s="3">
        <f t="shared" si="41"/>
        <v>0</v>
      </c>
      <c r="H116" s="3">
        <f t="shared" si="41"/>
        <v>0</v>
      </c>
      <c r="I116" s="3">
        <f t="shared" si="41"/>
        <v>0</v>
      </c>
      <c r="J116" s="3">
        <f t="shared" si="41"/>
        <v>169.25828489704628</v>
      </c>
      <c r="K116" s="3">
        <f t="shared" si="41"/>
        <v>0</v>
      </c>
      <c r="L116" s="3">
        <f t="shared" si="41"/>
        <v>-36.599281910306999</v>
      </c>
      <c r="M116" s="3">
        <f t="shared" si="41"/>
        <v>0</v>
      </c>
      <c r="N116" s="3">
        <f t="shared" si="41"/>
        <v>-887.56321702977698</v>
      </c>
      <c r="O116" s="3">
        <f t="shared" si="41"/>
        <v>43588.354409019899</v>
      </c>
      <c r="P116" s="3">
        <f t="shared" si="41"/>
        <v>2437.5952750727843</v>
      </c>
      <c r="Q116" s="3">
        <f t="shared" si="41"/>
        <v>0</v>
      </c>
      <c r="R116" s="3">
        <f t="shared" si="41"/>
        <v>0</v>
      </c>
      <c r="S116" s="3">
        <f t="shared" si="41"/>
        <v>0</v>
      </c>
      <c r="T116" s="3">
        <f t="shared" si="41"/>
        <v>-187.12561127666299</v>
      </c>
      <c r="U116" s="3">
        <f t="shared" si="41"/>
        <v>8532.7634183604641</v>
      </c>
      <c r="V116" s="3">
        <f t="shared" si="41"/>
        <v>0</v>
      </c>
      <c r="W116" s="3">
        <f t="shared" si="41"/>
        <v>-192.81078964990499</v>
      </c>
      <c r="Y116" s="2"/>
    </row>
    <row r="118" spans="1:25" x14ac:dyDescent="0.2">
      <c r="Y118" s="2">
        <f>+SUM(Y79:Y116)</f>
        <v>93.74736053691494</v>
      </c>
    </row>
  </sheetData>
  <autoFilter ref="A1:Y116" xr:uid="{7775CAD1-4CD5-9C44-9870-68726761481F}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995E8-6634-9D43-938C-1C2989BC45D5}">
  <dimension ref="A1:Y118"/>
  <sheetViews>
    <sheetView tabSelected="1" zoomScale="115" workbookViewId="0">
      <pane xSplit="1" ySplit="1" topLeftCell="B79" activePane="bottomRight" state="frozen"/>
      <selection pane="topRight" activeCell="B1" sqref="B1"/>
      <selection pane="bottomLeft" activeCell="A2" sqref="A2"/>
      <selection pane="bottomRight" activeCell="N1" sqref="N1"/>
    </sheetView>
  </sheetViews>
  <sheetFormatPr baseColWidth="10" defaultRowHeight="16" x14ac:dyDescent="0.2"/>
  <cols>
    <col min="14" max="14" width="10.83203125" customWidth="1"/>
  </cols>
  <sheetData>
    <row r="1" spans="1:23" ht="119" x14ac:dyDescent="0.2">
      <c r="A1" s="1" t="s">
        <v>0</v>
      </c>
      <c r="B1" s="1"/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4" t="s">
        <v>12</v>
      </c>
      <c r="O1" s="4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</row>
    <row r="2" spans="1:23" x14ac:dyDescent="0.2">
      <c r="A2">
        <v>8</v>
      </c>
      <c r="B2">
        <v>2023</v>
      </c>
      <c r="C2">
        <v>6003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5.5324457240216098E-2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v>0</v>
      </c>
      <c r="U2" s="3">
        <v>0</v>
      </c>
      <c r="V2" s="3">
        <v>51.370288694422797</v>
      </c>
      <c r="W2" s="3">
        <v>0</v>
      </c>
    </row>
    <row r="3" spans="1:23" x14ac:dyDescent="0.2">
      <c r="A3">
        <v>9</v>
      </c>
      <c r="B3">
        <v>2024</v>
      </c>
      <c r="C3">
        <v>6003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4.8126612443268303E-2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0</v>
      </c>
      <c r="R3" s="3">
        <v>0</v>
      </c>
      <c r="S3" s="3">
        <v>0</v>
      </c>
      <c r="T3" s="3">
        <v>0</v>
      </c>
      <c r="U3" s="3">
        <v>800.34301897329499</v>
      </c>
      <c r="V3" s="3">
        <v>40.454679441768398</v>
      </c>
      <c r="W3" s="3">
        <v>0</v>
      </c>
    </row>
    <row r="4" spans="1:23" x14ac:dyDescent="0.2">
      <c r="A4">
        <v>10</v>
      </c>
      <c r="B4">
        <v>2025</v>
      </c>
      <c r="C4">
        <v>6003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4.0714583751857103E-2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62.972679923567398</v>
      </c>
      <c r="V4" s="3">
        <v>27.9242179377258</v>
      </c>
      <c r="W4" s="3">
        <v>0</v>
      </c>
    </row>
    <row r="5" spans="1:23" x14ac:dyDescent="0.2">
      <c r="A5">
        <v>11</v>
      </c>
      <c r="B5">
        <v>2026</v>
      </c>
      <c r="C5">
        <v>6003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3.6785028704112799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260.67209036166003</v>
      </c>
      <c r="Q5" s="3">
        <v>0</v>
      </c>
      <c r="R5" s="3">
        <v>0</v>
      </c>
      <c r="S5" s="3">
        <v>0</v>
      </c>
      <c r="T5" s="3">
        <v>0</v>
      </c>
      <c r="U5" s="3">
        <v>18.2162957503554</v>
      </c>
      <c r="V5" s="3">
        <v>0</v>
      </c>
      <c r="W5" s="3">
        <v>317.67366875536601</v>
      </c>
    </row>
    <row r="6" spans="1:23" x14ac:dyDescent="0.2">
      <c r="A6">
        <v>12</v>
      </c>
      <c r="B6">
        <v>2027</v>
      </c>
      <c r="C6">
        <v>6003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3.7872847362028401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</row>
    <row r="7" spans="1:23" x14ac:dyDescent="0.2">
      <c r="A7">
        <v>13</v>
      </c>
      <c r="B7">
        <v>2028</v>
      </c>
      <c r="C7">
        <v>6003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3.89474615269727</v>
      </c>
      <c r="K7" s="3">
        <v>0</v>
      </c>
      <c r="L7" s="3">
        <v>0</v>
      </c>
      <c r="M7" s="3">
        <v>0</v>
      </c>
      <c r="N7" s="3">
        <v>749.90590470828704</v>
      </c>
      <c r="O7" s="3">
        <v>0</v>
      </c>
      <c r="P7" s="3">
        <v>1476.1497881003099</v>
      </c>
      <c r="Q7" s="3">
        <v>0</v>
      </c>
      <c r="R7" s="3">
        <v>0</v>
      </c>
      <c r="S7" s="3">
        <v>0</v>
      </c>
      <c r="T7" s="3">
        <v>0</v>
      </c>
      <c r="U7" s="3">
        <v>213.36560174866901</v>
      </c>
      <c r="V7" s="3">
        <v>0</v>
      </c>
      <c r="W7" s="3">
        <v>519.44951804797097</v>
      </c>
    </row>
    <row r="8" spans="1:23" x14ac:dyDescent="0.2">
      <c r="A8">
        <v>14</v>
      </c>
      <c r="B8">
        <v>2029</v>
      </c>
      <c r="C8">
        <v>6003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4.0358133656174999</v>
      </c>
      <c r="K8" s="3">
        <v>0</v>
      </c>
      <c r="L8" s="3">
        <v>0</v>
      </c>
      <c r="M8" s="3">
        <v>0</v>
      </c>
      <c r="N8" s="3">
        <v>545.57576004481496</v>
      </c>
      <c r="O8" s="3">
        <v>0</v>
      </c>
      <c r="P8" s="3">
        <v>5.1703912390231901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8.4952339913448505</v>
      </c>
    </row>
    <row r="9" spans="1:23" x14ac:dyDescent="0.2">
      <c r="A9">
        <v>15</v>
      </c>
      <c r="B9">
        <v>2030</v>
      </c>
      <c r="C9">
        <v>6003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4.21061294975918</v>
      </c>
      <c r="K9" s="3">
        <v>0</v>
      </c>
      <c r="L9" s="3">
        <v>0</v>
      </c>
      <c r="M9" s="3">
        <v>0</v>
      </c>
      <c r="N9" s="3">
        <v>57.258752944192203</v>
      </c>
      <c r="O9" s="3">
        <v>0</v>
      </c>
      <c r="P9" s="3">
        <v>6.9076202129545203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90.594048168894403</v>
      </c>
    </row>
    <row r="10" spans="1:23" x14ac:dyDescent="0.2">
      <c r="A10">
        <v>16</v>
      </c>
      <c r="B10">
        <v>2031</v>
      </c>
      <c r="C10">
        <v>6003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4.4140101331204296</v>
      </c>
      <c r="K10" s="3">
        <v>0</v>
      </c>
      <c r="L10" s="3">
        <v>0</v>
      </c>
      <c r="M10" s="3">
        <v>0</v>
      </c>
      <c r="N10" s="3">
        <v>66.867313560428499</v>
      </c>
      <c r="O10" s="3">
        <v>0</v>
      </c>
      <c r="P10" s="3">
        <v>61.769213403120098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98.884756080508694</v>
      </c>
    </row>
    <row r="11" spans="1:23" x14ac:dyDescent="0.2">
      <c r="A11">
        <v>17</v>
      </c>
      <c r="B11">
        <v>2032</v>
      </c>
      <c r="C11">
        <v>6003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4.6640955288139203</v>
      </c>
      <c r="K11" s="3">
        <v>0</v>
      </c>
      <c r="L11" s="3">
        <v>0</v>
      </c>
      <c r="M11" s="3">
        <v>0</v>
      </c>
      <c r="N11" s="3">
        <v>433.58093959301698</v>
      </c>
      <c r="O11" s="3">
        <v>0</v>
      </c>
      <c r="P11" s="3">
        <v>9.41001014399124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48.4838079244008</v>
      </c>
    </row>
    <row r="12" spans="1:23" x14ac:dyDescent="0.2">
      <c r="A12">
        <v>18</v>
      </c>
      <c r="B12">
        <v>2033</v>
      </c>
      <c r="C12">
        <v>6003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4.9563870219004498</v>
      </c>
      <c r="K12" s="3">
        <v>0</v>
      </c>
      <c r="L12" s="3">
        <v>0</v>
      </c>
      <c r="M12" s="3">
        <v>0</v>
      </c>
      <c r="N12" s="3">
        <v>897.72477441707804</v>
      </c>
      <c r="O12" s="3">
        <v>0</v>
      </c>
      <c r="P12" s="3">
        <v>10.933171739058301</v>
      </c>
      <c r="Q12" s="3">
        <v>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153.39303580400701</v>
      </c>
    </row>
    <row r="13" spans="1:23" x14ac:dyDescent="0.2">
      <c r="A13">
        <v>19</v>
      </c>
      <c r="B13">
        <v>2034</v>
      </c>
      <c r="C13">
        <v>6003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5.2916977076858904</v>
      </c>
      <c r="K13" s="3">
        <v>0</v>
      </c>
      <c r="L13" s="3">
        <v>0</v>
      </c>
      <c r="M13" s="3">
        <v>0</v>
      </c>
      <c r="N13" s="3">
        <v>111.847639305282</v>
      </c>
      <c r="O13" s="3">
        <v>0</v>
      </c>
      <c r="P13" s="3">
        <v>12.250995600603501</v>
      </c>
      <c r="Q13" s="3">
        <v>0</v>
      </c>
      <c r="R13" s="3">
        <v>0</v>
      </c>
      <c r="S13" s="3">
        <v>0</v>
      </c>
      <c r="T13" s="3">
        <v>0</v>
      </c>
      <c r="U13" s="3">
        <v>55.621960869217901</v>
      </c>
      <c r="V13" s="3">
        <v>0</v>
      </c>
      <c r="W13" s="3">
        <v>85.063382944457402</v>
      </c>
    </row>
    <row r="14" spans="1:23" x14ac:dyDescent="0.2">
      <c r="A14">
        <v>20</v>
      </c>
      <c r="B14">
        <v>2035</v>
      </c>
      <c r="C14">
        <v>6003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5.6695425680616003</v>
      </c>
      <c r="K14" s="3">
        <v>0</v>
      </c>
      <c r="L14" s="3">
        <v>0</v>
      </c>
      <c r="M14" s="3">
        <v>0</v>
      </c>
      <c r="N14" s="3">
        <v>566.32337057520397</v>
      </c>
      <c r="O14" s="3">
        <v>0</v>
      </c>
      <c r="P14" s="3">
        <v>13.7057428110461</v>
      </c>
      <c r="Q14" s="3">
        <v>0</v>
      </c>
      <c r="R14" s="3">
        <v>0</v>
      </c>
      <c r="S14" s="3">
        <v>0</v>
      </c>
      <c r="T14" s="3">
        <v>0</v>
      </c>
      <c r="U14" s="3">
        <v>704.61233650439101</v>
      </c>
      <c r="V14" s="3">
        <v>0</v>
      </c>
      <c r="W14" s="3">
        <v>3320.3073189227598</v>
      </c>
    </row>
    <row r="15" spans="1:23" x14ac:dyDescent="0.2">
      <c r="A15">
        <v>21</v>
      </c>
      <c r="B15">
        <v>2036</v>
      </c>
      <c r="C15">
        <v>6003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6.07333455595509</v>
      </c>
      <c r="K15" s="3">
        <v>0</v>
      </c>
      <c r="L15" s="3">
        <v>0</v>
      </c>
      <c r="M15" s="3">
        <v>0</v>
      </c>
      <c r="N15" s="3">
        <v>141.782345153726</v>
      </c>
      <c r="O15" s="3">
        <v>0</v>
      </c>
      <c r="P15" s="3">
        <v>14.894790976843799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58.549611520083502</v>
      </c>
    </row>
    <row r="16" spans="1:23" x14ac:dyDescent="0.2">
      <c r="A16">
        <v>22</v>
      </c>
      <c r="B16">
        <v>2037</v>
      </c>
      <c r="C16">
        <v>6003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7.3395419313341899</v>
      </c>
      <c r="K16" s="3">
        <v>0</v>
      </c>
      <c r="L16" s="3">
        <v>0</v>
      </c>
      <c r="M16" s="3">
        <v>0</v>
      </c>
      <c r="N16" s="3">
        <v>160.420976886983</v>
      </c>
      <c r="O16" s="3">
        <v>0</v>
      </c>
      <c r="P16" s="3">
        <v>16.4683650685472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67.453425551912702</v>
      </c>
    </row>
    <row r="17" spans="1:23" x14ac:dyDescent="0.2">
      <c r="A17">
        <v>23</v>
      </c>
      <c r="B17">
        <v>2038</v>
      </c>
      <c r="C17">
        <v>6003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7.8437172572978104</v>
      </c>
      <c r="K17" s="3">
        <v>0</v>
      </c>
      <c r="L17" s="3">
        <v>0</v>
      </c>
      <c r="M17" s="3">
        <v>0</v>
      </c>
      <c r="N17" s="3">
        <v>179.897766129866</v>
      </c>
      <c r="O17" s="3">
        <v>0</v>
      </c>
      <c r="P17" s="3">
        <v>18.0463699319053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135.405341009263</v>
      </c>
    </row>
    <row r="18" spans="1:23" x14ac:dyDescent="0.2">
      <c r="A18">
        <v>24</v>
      </c>
      <c r="B18">
        <v>2039</v>
      </c>
      <c r="C18">
        <v>6003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8.3637010316113791</v>
      </c>
      <c r="K18" s="3">
        <v>0</v>
      </c>
      <c r="L18" s="3">
        <v>0</v>
      </c>
      <c r="M18" s="3">
        <v>0</v>
      </c>
      <c r="N18" s="3">
        <v>469.12789850269797</v>
      </c>
      <c r="O18" s="3">
        <v>0</v>
      </c>
      <c r="P18" s="3">
        <v>19.519099473589101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94.845581315429996</v>
      </c>
    </row>
    <row r="19" spans="1:23" x14ac:dyDescent="0.2">
      <c r="A19">
        <v>25</v>
      </c>
      <c r="B19">
        <v>2040</v>
      </c>
      <c r="C19">
        <v>6003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8.8522491426155501</v>
      </c>
      <c r="K19" s="3">
        <v>0</v>
      </c>
      <c r="L19" s="3">
        <v>1869.85191944351</v>
      </c>
      <c r="M19" s="3">
        <v>0</v>
      </c>
      <c r="N19" s="3">
        <v>9766.8952334179503</v>
      </c>
      <c r="O19" s="3">
        <v>0</v>
      </c>
      <c r="P19" s="3">
        <v>20.7806786378152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86.119599503349605</v>
      </c>
    </row>
    <row r="20" spans="1:23" x14ac:dyDescent="0.2">
      <c r="A20">
        <v>26</v>
      </c>
      <c r="B20">
        <v>2041</v>
      </c>
      <c r="C20">
        <v>6003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9.4027215229449901</v>
      </c>
      <c r="K20" s="3">
        <v>0</v>
      </c>
      <c r="L20" s="3">
        <v>145.97459045904401</v>
      </c>
      <c r="M20" s="3">
        <v>0</v>
      </c>
      <c r="N20" s="3">
        <v>795.19090533790802</v>
      </c>
      <c r="O20" s="3">
        <v>0</v>
      </c>
      <c r="P20" s="3">
        <v>20.9968799760506</v>
      </c>
      <c r="Q20" s="3">
        <v>0</v>
      </c>
      <c r="R20" s="3">
        <v>0</v>
      </c>
      <c r="S20" s="3">
        <v>0</v>
      </c>
      <c r="T20" s="3">
        <v>1764.63351554768</v>
      </c>
      <c r="U20" s="3">
        <v>0</v>
      </c>
      <c r="V20" s="3">
        <v>0</v>
      </c>
      <c r="W20" s="3">
        <v>3.7293260702095399</v>
      </c>
    </row>
    <row r="21" spans="1:23" x14ac:dyDescent="0.2">
      <c r="A21">
        <v>27</v>
      </c>
      <c r="B21">
        <v>2042</v>
      </c>
      <c r="C21">
        <v>6003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9.1792310995485202</v>
      </c>
      <c r="K21" s="3">
        <v>0</v>
      </c>
      <c r="L21" s="3">
        <v>151.737848982667</v>
      </c>
      <c r="M21" s="3">
        <v>0</v>
      </c>
      <c r="N21" s="3">
        <v>431.272181556497</v>
      </c>
      <c r="O21" s="3">
        <v>0</v>
      </c>
      <c r="P21" s="3">
        <v>21.327359531170998</v>
      </c>
      <c r="Q21" s="3">
        <v>0</v>
      </c>
      <c r="R21" s="3">
        <v>0</v>
      </c>
      <c r="S21" s="3">
        <v>0</v>
      </c>
      <c r="T21" s="3">
        <v>659.37163815635404</v>
      </c>
      <c r="U21" s="3">
        <v>102.10049555280401</v>
      </c>
      <c r="V21" s="3">
        <v>0</v>
      </c>
      <c r="W21" s="3">
        <v>0</v>
      </c>
    </row>
    <row r="22" spans="1:23" x14ac:dyDescent="0.2">
      <c r="A22">
        <v>28</v>
      </c>
      <c r="B22">
        <v>2043</v>
      </c>
      <c r="C22">
        <v>6003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9.7218591986954799</v>
      </c>
      <c r="K22" s="3">
        <v>0</v>
      </c>
      <c r="L22" s="3">
        <v>155.823110549104</v>
      </c>
      <c r="M22" s="3">
        <v>0</v>
      </c>
      <c r="N22" s="3">
        <v>110.71145751195</v>
      </c>
      <c r="O22" s="3">
        <v>0</v>
      </c>
      <c r="P22" s="3">
        <v>21.4013270253038</v>
      </c>
      <c r="Q22" s="3">
        <v>0</v>
      </c>
      <c r="R22" s="3">
        <v>0</v>
      </c>
      <c r="S22" s="3">
        <v>0</v>
      </c>
      <c r="T22" s="3">
        <v>727.99582247400599</v>
      </c>
      <c r="U22" s="3">
        <v>141.62150165973401</v>
      </c>
      <c r="V22" s="3">
        <v>383.445922574691</v>
      </c>
      <c r="W22" s="3">
        <v>0</v>
      </c>
    </row>
    <row r="23" spans="1:23" x14ac:dyDescent="0.2">
      <c r="A23">
        <v>29</v>
      </c>
      <c r="B23">
        <v>2044</v>
      </c>
      <c r="C23">
        <v>6003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10.2591196325872</v>
      </c>
      <c r="K23" s="3">
        <v>0</v>
      </c>
      <c r="L23" s="3">
        <v>8433.2467521096805</v>
      </c>
      <c r="M23" s="3">
        <v>0</v>
      </c>
      <c r="N23" s="3">
        <v>112.86642527952399</v>
      </c>
      <c r="O23" s="3">
        <v>0</v>
      </c>
      <c r="P23" s="3">
        <v>21.5101580806678</v>
      </c>
      <c r="Q23" s="3">
        <v>0</v>
      </c>
      <c r="R23" s="3">
        <v>0</v>
      </c>
      <c r="S23" s="3">
        <v>0</v>
      </c>
      <c r="T23" s="3">
        <v>1003.40133486761</v>
      </c>
      <c r="U23" s="3">
        <v>472.02985509973701</v>
      </c>
      <c r="V23" s="3">
        <v>396.08950684913799</v>
      </c>
      <c r="W23" s="3">
        <v>0</v>
      </c>
    </row>
    <row r="24" spans="1:23" x14ac:dyDescent="0.2">
      <c r="A24">
        <v>30</v>
      </c>
      <c r="B24">
        <v>2045</v>
      </c>
      <c r="C24">
        <v>6003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10.790004408461</v>
      </c>
      <c r="K24" s="3">
        <v>0</v>
      </c>
      <c r="L24" s="3">
        <v>165.12660405565001</v>
      </c>
      <c r="M24" s="3">
        <v>0</v>
      </c>
      <c r="N24" s="3">
        <v>1540.5677294414299</v>
      </c>
      <c r="O24" s="3">
        <v>0</v>
      </c>
      <c r="P24" s="3">
        <v>21.654951573068999</v>
      </c>
      <c r="Q24" s="3">
        <v>0</v>
      </c>
      <c r="R24" s="3">
        <v>6778.7184598436397</v>
      </c>
      <c r="S24" s="3">
        <v>0</v>
      </c>
      <c r="T24" s="3">
        <v>1892.7054291592799</v>
      </c>
      <c r="U24" s="3">
        <v>1843.99609662526</v>
      </c>
      <c r="V24" s="3">
        <v>303.98942872929598</v>
      </c>
      <c r="W24" s="3">
        <v>113.502000377268</v>
      </c>
    </row>
    <row r="25" spans="1:23" x14ac:dyDescent="0.2">
      <c r="A25">
        <v>31</v>
      </c>
      <c r="B25">
        <v>2046</v>
      </c>
      <c r="C25">
        <v>6003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14.9154490320393</v>
      </c>
      <c r="K25" s="3">
        <v>0</v>
      </c>
      <c r="L25" s="3">
        <v>168.111521153468</v>
      </c>
      <c r="M25" s="3">
        <v>0</v>
      </c>
      <c r="N25" s="3">
        <v>116.525767002655</v>
      </c>
      <c r="O25" s="3">
        <v>0</v>
      </c>
      <c r="P25" s="3">
        <v>21.542857670093301</v>
      </c>
      <c r="Q25" s="3">
        <v>0</v>
      </c>
      <c r="R25" s="3">
        <v>0</v>
      </c>
      <c r="S25" s="3">
        <v>0</v>
      </c>
      <c r="T25" s="3">
        <v>677.38927086803903</v>
      </c>
      <c r="U25" s="3">
        <v>198.891517083949</v>
      </c>
      <c r="V25" s="3">
        <v>428.92563582378898</v>
      </c>
      <c r="W25" s="3">
        <v>645.04694802149697</v>
      </c>
    </row>
    <row r="26" spans="1:23" x14ac:dyDescent="0.2">
      <c r="A26">
        <v>32</v>
      </c>
      <c r="B26">
        <v>2047</v>
      </c>
      <c r="C26">
        <v>6003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15.519214326954099</v>
      </c>
      <c r="K26" s="3">
        <v>0</v>
      </c>
      <c r="L26" s="3">
        <v>172.128173016978</v>
      </c>
      <c r="M26" s="3">
        <v>0</v>
      </c>
      <c r="N26" s="3">
        <v>245.040980123205</v>
      </c>
      <c r="O26" s="3">
        <v>0</v>
      </c>
      <c r="P26" s="3">
        <v>21.5537807193638</v>
      </c>
      <c r="Q26" s="3">
        <v>0</v>
      </c>
      <c r="R26" s="3">
        <v>0</v>
      </c>
      <c r="S26" s="3">
        <v>0</v>
      </c>
      <c r="T26" s="3">
        <v>1283.62213779944</v>
      </c>
      <c r="U26" s="3">
        <v>961.61165982998</v>
      </c>
      <c r="V26" s="3">
        <v>8.7438467145852705</v>
      </c>
      <c r="W26" s="3">
        <v>212.56732211028901</v>
      </c>
    </row>
    <row r="27" spans="1:23" x14ac:dyDescent="0.2">
      <c r="A27">
        <v>33</v>
      </c>
      <c r="B27">
        <v>2048</v>
      </c>
      <c r="C27">
        <v>6003</v>
      </c>
      <c r="D27" s="3">
        <v>0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3">
        <v>16.107307424219002</v>
      </c>
      <c r="K27" s="3">
        <v>0</v>
      </c>
      <c r="L27" s="3">
        <v>177.3409584039</v>
      </c>
      <c r="M27" s="3">
        <v>0</v>
      </c>
      <c r="N27" s="3">
        <v>274.30072308115598</v>
      </c>
      <c r="O27" s="3">
        <v>0</v>
      </c>
      <c r="P27" s="3">
        <v>21.699324730082601</v>
      </c>
      <c r="Q27" s="3">
        <v>0</v>
      </c>
      <c r="R27" s="3">
        <v>0</v>
      </c>
      <c r="S27" s="3">
        <v>0</v>
      </c>
      <c r="T27" s="3">
        <v>0</v>
      </c>
      <c r="U27" s="3">
        <v>140.229344646291</v>
      </c>
      <c r="V27" s="3">
        <v>0</v>
      </c>
      <c r="W27" s="3">
        <v>552.11844768740605</v>
      </c>
    </row>
    <row r="28" spans="1:23" x14ac:dyDescent="0.2">
      <c r="A28">
        <v>34</v>
      </c>
      <c r="B28">
        <v>2049</v>
      </c>
      <c r="C28">
        <v>6003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16.715507197505499</v>
      </c>
      <c r="K28" s="3">
        <v>0</v>
      </c>
      <c r="L28" s="3">
        <v>184.13438055661899</v>
      </c>
      <c r="M28" s="3">
        <v>0</v>
      </c>
      <c r="N28" s="3">
        <v>284.84189987398202</v>
      </c>
      <c r="O28" s="3">
        <v>0</v>
      </c>
      <c r="P28" s="3">
        <v>22.015964678833999</v>
      </c>
      <c r="Q28" s="3">
        <v>0</v>
      </c>
      <c r="R28" s="3">
        <v>0</v>
      </c>
      <c r="S28" s="3">
        <v>0</v>
      </c>
      <c r="T28" s="3">
        <v>1072.0387847008701</v>
      </c>
      <c r="U28" s="3">
        <v>448.10909540377099</v>
      </c>
      <c r="V28" s="3">
        <v>0</v>
      </c>
      <c r="W28" s="3">
        <v>212.294622621088</v>
      </c>
    </row>
    <row r="29" spans="1:23" x14ac:dyDescent="0.2">
      <c r="A29">
        <v>35</v>
      </c>
      <c r="B29">
        <v>2050</v>
      </c>
      <c r="C29">
        <v>6003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>
        <v>17.344826721670401</v>
      </c>
      <c r="K29" s="3">
        <v>0</v>
      </c>
      <c r="L29" s="3">
        <v>191.88236287865601</v>
      </c>
      <c r="M29" s="3">
        <v>0</v>
      </c>
      <c r="N29" s="3">
        <v>296.86391415958002</v>
      </c>
      <c r="O29" s="3">
        <v>0</v>
      </c>
      <c r="P29" s="3">
        <v>22.4183455668249</v>
      </c>
      <c r="Q29" s="3">
        <v>0</v>
      </c>
      <c r="R29" s="3">
        <v>0</v>
      </c>
      <c r="S29" s="3">
        <v>0</v>
      </c>
      <c r="T29" s="3">
        <v>0</v>
      </c>
      <c r="U29" s="3">
        <v>122.32977657971701</v>
      </c>
      <c r="V29" s="3">
        <v>0</v>
      </c>
      <c r="W29" s="3">
        <v>224.18690636511499</v>
      </c>
    </row>
    <row r="30" spans="1:23" x14ac:dyDescent="0.2">
      <c r="A30">
        <v>36</v>
      </c>
      <c r="B30">
        <v>2051</v>
      </c>
      <c r="C30">
        <v>6003</v>
      </c>
      <c r="D30" s="3">
        <v>0</v>
      </c>
      <c r="E30" s="3">
        <v>0</v>
      </c>
      <c r="F30" s="3">
        <v>0</v>
      </c>
      <c r="G30" s="3">
        <v>0</v>
      </c>
      <c r="H30" s="3">
        <v>0</v>
      </c>
      <c r="I30" s="3">
        <v>0</v>
      </c>
      <c r="J30" s="3">
        <v>17.8470421598523</v>
      </c>
      <c r="K30" s="3">
        <v>0</v>
      </c>
      <c r="L30" s="3">
        <v>221.53091004096399</v>
      </c>
      <c r="M30" s="3">
        <v>0</v>
      </c>
      <c r="N30" s="3">
        <v>343.06680517638199</v>
      </c>
      <c r="O30" s="3">
        <v>0</v>
      </c>
      <c r="P30" s="3">
        <v>25.882297989900099</v>
      </c>
      <c r="Q30" s="3">
        <v>0</v>
      </c>
      <c r="R30" s="3">
        <v>0</v>
      </c>
      <c r="S30" s="3">
        <v>0</v>
      </c>
      <c r="T30" s="3">
        <v>0</v>
      </c>
      <c r="U30" s="3">
        <v>117.51078957998099</v>
      </c>
      <c r="V30" s="3">
        <v>0</v>
      </c>
      <c r="W30" s="3">
        <v>267.65199847495802</v>
      </c>
    </row>
    <row r="31" spans="1:23" x14ac:dyDescent="0.2">
      <c r="A31">
        <v>37</v>
      </c>
      <c r="B31">
        <v>2052</v>
      </c>
      <c r="C31">
        <v>6003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3">
        <v>18.455375437699601</v>
      </c>
      <c r="K31" s="3">
        <v>0</v>
      </c>
      <c r="L31" s="3">
        <v>222.163010440627</v>
      </c>
      <c r="M31" s="3">
        <v>0</v>
      </c>
      <c r="N31" s="3">
        <v>344.04106333031302</v>
      </c>
      <c r="O31" s="3">
        <v>0</v>
      </c>
      <c r="P31" s="3">
        <v>25.956148681438101</v>
      </c>
      <c r="Q31" s="3">
        <v>0</v>
      </c>
      <c r="R31" s="3">
        <v>0</v>
      </c>
      <c r="S31" s="3">
        <v>0</v>
      </c>
      <c r="T31" s="3">
        <v>615.785617786481</v>
      </c>
      <c r="U31" s="3">
        <v>1203.82208731846</v>
      </c>
      <c r="V31" s="3">
        <v>0</v>
      </c>
      <c r="W31" s="3">
        <v>303.06289027815399</v>
      </c>
    </row>
    <row r="32" spans="1:23" x14ac:dyDescent="0.2">
      <c r="A32">
        <v>38</v>
      </c>
      <c r="B32">
        <v>2053</v>
      </c>
      <c r="C32">
        <v>6003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19.0970075497004</v>
      </c>
      <c r="K32" s="3">
        <v>0</v>
      </c>
      <c r="L32" s="3">
        <v>220.51064262609</v>
      </c>
      <c r="M32" s="3">
        <v>0</v>
      </c>
      <c r="N32" s="3">
        <v>1091.3765607024</v>
      </c>
      <c r="O32" s="3">
        <v>0</v>
      </c>
      <c r="P32" s="3">
        <v>25.763096271023599</v>
      </c>
      <c r="Q32" s="3">
        <v>0</v>
      </c>
      <c r="R32" s="3">
        <v>0</v>
      </c>
      <c r="S32" s="3">
        <v>0</v>
      </c>
      <c r="T32" s="3">
        <v>0</v>
      </c>
      <c r="U32" s="3">
        <v>116.969590026915</v>
      </c>
      <c r="V32" s="3">
        <v>0</v>
      </c>
      <c r="W32" s="3">
        <v>319.16979155530998</v>
      </c>
    </row>
    <row r="33" spans="1:23" x14ac:dyDescent="0.2">
      <c r="A33">
        <v>39</v>
      </c>
      <c r="B33">
        <v>2054</v>
      </c>
      <c r="C33">
        <v>6003</v>
      </c>
      <c r="D33" s="3">
        <v>0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  <c r="J33" s="3">
        <v>19.776179405122502</v>
      </c>
      <c r="K33" s="3">
        <v>0</v>
      </c>
      <c r="L33" s="3">
        <v>218.86191295341899</v>
      </c>
      <c r="M33" s="3">
        <v>0</v>
      </c>
      <c r="N33" s="3">
        <v>884.48189791480195</v>
      </c>
      <c r="O33" s="3">
        <v>0</v>
      </c>
      <c r="P33" s="3">
        <v>25.5704689185478</v>
      </c>
      <c r="Q33" s="3">
        <v>0</v>
      </c>
      <c r="R33" s="3">
        <v>0</v>
      </c>
      <c r="S33" s="3">
        <v>0</v>
      </c>
      <c r="T33" s="3">
        <v>0</v>
      </c>
      <c r="U33" s="3">
        <v>555.01313128140998</v>
      </c>
      <c r="V33" s="3">
        <v>0</v>
      </c>
      <c r="W33" s="3">
        <v>254.14463291858499</v>
      </c>
    </row>
    <row r="34" spans="1:23" x14ac:dyDescent="0.2">
      <c r="A34">
        <v>40</v>
      </c>
      <c r="B34">
        <v>2055</v>
      </c>
      <c r="C34">
        <v>6003</v>
      </c>
      <c r="D34" s="3">
        <v>0</v>
      </c>
      <c r="E34" s="3">
        <v>0</v>
      </c>
      <c r="F34" s="3">
        <v>0</v>
      </c>
      <c r="G34" s="3">
        <v>0</v>
      </c>
      <c r="H34" s="3">
        <v>0</v>
      </c>
      <c r="I34" s="3">
        <v>0</v>
      </c>
      <c r="J34" s="3">
        <v>20.49239709918</v>
      </c>
      <c r="K34" s="3">
        <v>0</v>
      </c>
      <c r="L34" s="3">
        <v>215.14723148629599</v>
      </c>
      <c r="M34" s="3">
        <v>0</v>
      </c>
      <c r="N34" s="3">
        <v>390.39500259127601</v>
      </c>
      <c r="O34" s="3">
        <v>0</v>
      </c>
      <c r="P34" s="3">
        <v>127.787337791148</v>
      </c>
      <c r="Q34" s="3">
        <v>0</v>
      </c>
      <c r="R34" s="3">
        <v>0</v>
      </c>
      <c r="S34" s="3">
        <v>0</v>
      </c>
      <c r="T34" s="3">
        <v>638.40015703812605</v>
      </c>
      <c r="U34" s="3">
        <v>195.72015872645099</v>
      </c>
      <c r="V34" s="3">
        <v>0</v>
      </c>
      <c r="W34" s="3">
        <v>3567.0603151042101</v>
      </c>
    </row>
    <row r="35" spans="1:23" x14ac:dyDescent="0.2">
      <c r="A35">
        <v>41</v>
      </c>
      <c r="B35">
        <v>2056</v>
      </c>
      <c r="C35">
        <v>6003</v>
      </c>
      <c r="D35" s="3">
        <v>0</v>
      </c>
      <c r="E35" s="3">
        <v>0</v>
      </c>
      <c r="F35" s="3">
        <v>0</v>
      </c>
      <c r="G35" s="3">
        <v>0</v>
      </c>
      <c r="H35" s="3">
        <v>0</v>
      </c>
      <c r="I35" s="3">
        <v>0</v>
      </c>
      <c r="J35" s="3">
        <v>21.2322133942717</v>
      </c>
      <c r="K35" s="3">
        <v>0</v>
      </c>
      <c r="L35" s="3">
        <v>211.68102596453099</v>
      </c>
      <c r="M35" s="3">
        <v>0</v>
      </c>
      <c r="N35" s="3">
        <v>394.61956444165702</v>
      </c>
      <c r="O35" s="3">
        <v>0</v>
      </c>
      <c r="P35" s="3">
        <v>176.898783049527</v>
      </c>
      <c r="Q35" s="3">
        <v>0</v>
      </c>
      <c r="R35" s="3">
        <v>0</v>
      </c>
      <c r="S35" s="3">
        <v>0</v>
      </c>
      <c r="T35" s="3">
        <v>0</v>
      </c>
      <c r="U35" s="3">
        <v>338.23650585142099</v>
      </c>
      <c r="V35" s="3">
        <v>0</v>
      </c>
      <c r="W35" s="3">
        <v>217.799858423101</v>
      </c>
    </row>
    <row r="36" spans="1:23" x14ac:dyDescent="0.2">
      <c r="A36">
        <v>42</v>
      </c>
      <c r="B36">
        <v>2057</v>
      </c>
      <c r="C36">
        <v>6003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22.835736137486901</v>
      </c>
      <c r="K36" s="3">
        <v>0</v>
      </c>
      <c r="L36" s="3">
        <v>209.58903961482301</v>
      </c>
      <c r="M36" s="3">
        <v>0</v>
      </c>
      <c r="N36" s="3">
        <v>758.08173403054298</v>
      </c>
      <c r="O36" s="3">
        <v>0</v>
      </c>
      <c r="P36" s="3">
        <v>26.695382123993699</v>
      </c>
      <c r="Q36" s="3">
        <v>0</v>
      </c>
      <c r="R36" s="3">
        <v>0</v>
      </c>
      <c r="S36" s="3">
        <v>0</v>
      </c>
      <c r="T36" s="3">
        <v>0</v>
      </c>
      <c r="U36" s="3">
        <v>348.16816301608799</v>
      </c>
      <c r="V36" s="3">
        <v>0</v>
      </c>
      <c r="W36" s="3">
        <v>236.321686958128</v>
      </c>
    </row>
    <row r="37" spans="1:23" x14ac:dyDescent="0.2">
      <c r="A37">
        <v>43</v>
      </c>
      <c r="B37">
        <v>2058</v>
      </c>
      <c r="C37">
        <v>6003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23.679906257847101</v>
      </c>
      <c r="K37" s="3">
        <v>0</v>
      </c>
      <c r="L37" s="3">
        <v>1049.9051799781</v>
      </c>
      <c r="M37" s="3">
        <v>0</v>
      </c>
      <c r="N37" s="3">
        <v>1219.19156693126</v>
      </c>
      <c r="O37" s="3">
        <v>0</v>
      </c>
      <c r="P37" s="3">
        <v>919.547657612477</v>
      </c>
      <c r="Q37" s="3">
        <v>0</v>
      </c>
      <c r="R37" s="3">
        <v>0</v>
      </c>
      <c r="S37" s="3">
        <v>0</v>
      </c>
      <c r="T37" s="3">
        <v>164.633031731817</v>
      </c>
      <c r="U37" s="3">
        <v>0</v>
      </c>
      <c r="V37" s="3">
        <v>0</v>
      </c>
      <c r="W37" s="3">
        <v>66.703787869358806</v>
      </c>
    </row>
    <row r="38" spans="1:23" x14ac:dyDescent="0.2">
      <c r="A38">
        <v>44</v>
      </c>
      <c r="B38">
        <v>2059</v>
      </c>
      <c r="C38">
        <v>6003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24.545590845254001</v>
      </c>
      <c r="K38" s="3">
        <v>0</v>
      </c>
      <c r="L38" s="3">
        <v>281.30418694310998</v>
      </c>
      <c r="M38" s="3">
        <v>0</v>
      </c>
      <c r="N38" s="3">
        <v>432.23401317220402</v>
      </c>
      <c r="O38" s="3">
        <v>0</v>
      </c>
      <c r="P38" s="3">
        <v>32.213842746848002</v>
      </c>
      <c r="Q38" s="3">
        <v>0</v>
      </c>
      <c r="R38" s="3">
        <v>0</v>
      </c>
      <c r="S38" s="3">
        <v>0</v>
      </c>
      <c r="T38" s="3">
        <v>186.62654774427401</v>
      </c>
      <c r="U38" s="3">
        <v>104.099746881355</v>
      </c>
      <c r="V38" s="3">
        <v>0</v>
      </c>
      <c r="W38" s="3">
        <v>156.78262163871301</v>
      </c>
    </row>
    <row r="39" spans="1:23" ht="17" thickBot="1" x14ac:dyDescent="0.25">
      <c r="A39" s="5">
        <v>45</v>
      </c>
      <c r="B39" s="5">
        <v>2060</v>
      </c>
      <c r="C39" s="5">
        <v>6003</v>
      </c>
      <c r="D39" s="6">
        <v>0</v>
      </c>
      <c r="E39" s="6">
        <v>0</v>
      </c>
      <c r="F39" s="6">
        <v>0</v>
      </c>
      <c r="G39" s="6">
        <v>0</v>
      </c>
      <c r="H39" s="6">
        <v>0</v>
      </c>
      <c r="I39" s="6">
        <v>0</v>
      </c>
      <c r="J39" s="6">
        <v>25.387965424052702</v>
      </c>
      <c r="K39" s="6">
        <v>0</v>
      </c>
      <c r="L39" s="6">
        <v>36.599281910306999</v>
      </c>
      <c r="M39" s="6">
        <v>0</v>
      </c>
      <c r="N39" s="6">
        <v>887.56321702977698</v>
      </c>
      <c r="O39" s="6">
        <v>0</v>
      </c>
      <c r="P39" s="6">
        <v>32.675301780915397</v>
      </c>
      <c r="Q39" s="6">
        <v>0</v>
      </c>
      <c r="R39" s="6">
        <v>0</v>
      </c>
      <c r="S39" s="6">
        <v>0</v>
      </c>
      <c r="T39" s="6">
        <v>187.12561127666299</v>
      </c>
      <c r="U39" s="6">
        <v>178.859277981556</v>
      </c>
      <c r="V39" s="6">
        <v>0</v>
      </c>
      <c r="W39" s="6">
        <v>192.81078964990499</v>
      </c>
    </row>
    <row r="40" spans="1:23" ht="17" thickTop="1" x14ac:dyDescent="0.2">
      <c r="A40">
        <v>8</v>
      </c>
      <c r="B40">
        <f t="shared" ref="B40:B77" si="0">+A40+2015</f>
        <v>2023</v>
      </c>
      <c r="C40">
        <v>6005</v>
      </c>
      <c r="D40" s="3">
        <v>0</v>
      </c>
      <c r="E40" s="3">
        <v>0</v>
      </c>
      <c r="F40" s="3">
        <v>0</v>
      </c>
      <c r="G40" s="3">
        <v>0</v>
      </c>
      <c r="H40" s="3">
        <v>0</v>
      </c>
      <c r="I40" s="3">
        <v>0</v>
      </c>
      <c r="J40" s="3">
        <v>9.0939510815845004E-2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51.902558237164698</v>
      </c>
      <c r="W40" s="3">
        <v>0</v>
      </c>
    </row>
    <row r="41" spans="1:23" x14ac:dyDescent="0.2">
      <c r="A41">
        <v>9</v>
      </c>
      <c r="B41">
        <f t="shared" si="0"/>
        <v>2024</v>
      </c>
      <c r="C41">
        <v>6005</v>
      </c>
      <c r="D41" s="3">
        <v>0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8.4500275738988204E-2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0</v>
      </c>
      <c r="T41" s="3">
        <v>0</v>
      </c>
      <c r="U41" s="3">
        <v>889.42001167763704</v>
      </c>
      <c r="V41" s="3">
        <v>40.998840845540997</v>
      </c>
      <c r="W41" s="3">
        <v>0</v>
      </c>
    </row>
    <row r="42" spans="1:23" x14ac:dyDescent="0.2">
      <c r="A42">
        <v>10</v>
      </c>
      <c r="B42">
        <f t="shared" si="0"/>
        <v>2025</v>
      </c>
      <c r="C42">
        <v>6005</v>
      </c>
      <c r="D42" s="3">
        <v>0</v>
      </c>
      <c r="E42" s="3">
        <v>0</v>
      </c>
      <c r="F42" s="3">
        <v>0</v>
      </c>
      <c r="G42" s="3">
        <v>0</v>
      </c>
      <c r="H42" s="3">
        <v>0</v>
      </c>
      <c r="I42" s="3">
        <v>0</v>
      </c>
      <c r="J42" s="3">
        <v>7.7563909608689197E-2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0</v>
      </c>
      <c r="T42" s="3">
        <v>0</v>
      </c>
      <c r="U42" s="3">
        <v>106.133972174615</v>
      </c>
      <c r="V42" s="3">
        <v>28.476362316652899</v>
      </c>
      <c r="W42" s="3">
        <v>0</v>
      </c>
    </row>
    <row r="43" spans="1:23" x14ac:dyDescent="0.2">
      <c r="A43">
        <v>11</v>
      </c>
      <c r="B43">
        <f t="shared" si="0"/>
        <v>2026</v>
      </c>
      <c r="C43">
        <v>6005</v>
      </c>
      <c r="D43" s="3">
        <v>0</v>
      </c>
      <c r="E43" s="3">
        <v>0</v>
      </c>
      <c r="F43" s="3">
        <v>0</v>
      </c>
      <c r="G43" s="3">
        <v>0</v>
      </c>
      <c r="H43" s="3">
        <v>0</v>
      </c>
      <c r="I43" s="3">
        <v>0</v>
      </c>
      <c r="J43" s="3">
        <v>15.6568535739132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610.822707058525</v>
      </c>
      <c r="Q43" s="3">
        <v>0</v>
      </c>
      <c r="R43" s="3">
        <v>0</v>
      </c>
      <c r="S43" s="3">
        <v>0</v>
      </c>
      <c r="T43" s="3">
        <v>0</v>
      </c>
      <c r="U43" s="3">
        <v>3203.4734214181599</v>
      </c>
      <c r="V43" s="3">
        <v>0</v>
      </c>
      <c r="W43" s="3">
        <v>905.84717011672296</v>
      </c>
    </row>
    <row r="44" spans="1:23" x14ac:dyDescent="0.2">
      <c r="A44">
        <v>12</v>
      </c>
      <c r="B44">
        <f t="shared" si="0"/>
        <v>2027</v>
      </c>
      <c r="C44">
        <v>6005</v>
      </c>
      <c r="D44" s="3">
        <v>0</v>
      </c>
      <c r="E44" s="3">
        <v>0</v>
      </c>
      <c r="F44" s="3">
        <v>0</v>
      </c>
      <c r="G44" s="3">
        <v>0</v>
      </c>
      <c r="H44" s="3">
        <v>0</v>
      </c>
      <c r="I44" s="3">
        <v>0</v>
      </c>
      <c r="J44" s="3">
        <v>17.512375722593301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1138.7591126791399</v>
      </c>
      <c r="Q44" s="3">
        <v>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1039.94317890909</v>
      </c>
    </row>
    <row r="45" spans="1:23" x14ac:dyDescent="0.2">
      <c r="A45">
        <v>13</v>
      </c>
      <c r="B45">
        <f t="shared" si="0"/>
        <v>2028</v>
      </c>
      <c r="C45">
        <v>6005</v>
      </c>
      <c r="D45" s="3">
        <v>0</v>
      </c>
      <c r="E45" s="3">
        <v>0</v>
      </c>
      <c r="F45" s="3">
        <v>0</v>
      </c>
      <c r="G45" s="3">
        <v>0</v>
      </c>
      <c r="H45" s="3">
        <v>0</v>
      </c>
      <c r="I45" s="3">
        <v>0</v>
      </c>
      <c r="J45" s="3">
        <v>21.841417907883301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2197.5604091831501</v>
      </c>
      <c r="Q45" s="3">
        <v>0</v>
      </c>
      <c r="R45" s="3">
        <v>0</v>
      </c>
      <c r="S45" s="3">
        <v>0</v>
      </c>
      <c r="T45" s="3">
        <v>0</v>
      </c>
      <c r="U45" s="3">
        <v>4393.5441995374704</v>
      </c>
      <c r="V45" s="3">
        <v>0</v>
      </c>
      <c r="W45" s="3">
        <v>0</v>
      </c>
    </row>
    <row r="46" spans="1:23" x14ac:dyDescent="0.2">
      <c r="A46">
        <v>14</v>
      </c>
      <c r="B46">
        <f t="shared" si="0"/>
        <v>2029</v>
      </c>
      <c r="C46">
        <v>6005</v>
      </c>
      <c r="D46" s="3">
        <v>0</v>
      </c>
      <c r="E46" s="3">
        <v>0</v>
      </c>
      <c r="F46" s="3">
        <v>0</v>
      </c>
      <c r="G46" s="3">
        <v>0</v>
      </c>
      <c r="H46" s="3">
        <v>0</v>
      </c>
      <c r="I46" s="3">
        <v>0</v>
      </c>
      <c r="J46" s="3">
        <v>29.873415064548301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719.17350386331498</v>
      </c>
      <c r="Q46" s="3">
        <v>0</v>
      </c>
      <c r="R46" s="3">
        <v>0</v>
      </c>
      <c r="S46" s="3">
        <v>0</v>
      </c>
      <c r="T46" s="3">
        <v>0</v>
      </c>
      <c r="U46" s="3">
        <v>2412.5530752889199</v>
      </c>
      <c r="V46" s="3">
        <v>0</v>
      </c>
      <c r="W46" s="3">
        <v>319.967642109454</v>
      </c>
    </row>
    <row r="47" spans="1:23" x14ac:dyDescent="0.2">
      <c r="A47">
        <v>15</v>
      </c>
      <c r="B47">
        <f t="shared" si="0"/>
        <v>2030</v>
      </c>
      <c r="C47">
        <v>6005</v>
      </c>
      <c r="D47" s="3">
        <v>0</v>
      </c>
      <c r="E47" s="3">
        <v>0</v>
      </c>
      <c r="F47" s="3">
        <v>0</v>
      </c>
      <c r="G47" s="3">
        <v>0</v>
      </c>
      <c r="H47" s="3">
        <v>0</v>
      </c>
      <c r="I47" s="3">
        <v>0</v>
      </c>
      <c r="J47" s="3">
        <v>33.634040325944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717.01425568860498</v>
      </c>
      <c r="Q47" s="3">
        <v>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1552.06809440195</v>
      </c>
    </row>
    <row r="48" spans="1:23" x14ac:dyDescent="0.2">
      <c r="A48">
        <v>16</v>
      </c>
      <c r="B48">
        <f t="shared" si="0"/>
        <v>2031</v>
      </c>
      <c r="C48">
        <v>6005</v>
      </c>
      <c r="D48" s="3">
        <v>0</v>
      </c>
      <c r="E48" s="3">
        <v>0</v>
      </c>
      <c r="F48" s="3">
        <v>0</v>
      </c>
      <c r="G48" s="3">
        <v>0</v>
      </c>
      <c r="H48" s="3">
        <v>0</v>
      </c>
      <c r="I48" s="3">
        <v>0</v>
      </c>
      <c r="J48" s="3">
        <v>37.587430071390997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766.68986831626603</v>
      </c>
      <c r="Q48" s="3">
        <v>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1548.99972264146</v>
      </c>
    </row>
    <row r="49" spans="1:23" x14ac:dyDescent="0.2">
      <c r="A49">
        <v>17</v>
      </c>
      <c r="B49">
        <f t="shared" si="0"/>
        <v>2032</v>
      </c>
      <c r="C49">
        <v>6005</v>
      </c>
      <c r="D49" s="3">
        <v>0</v>
      </c>
      <c r="E49" s="3">
        <v>0</v>
      </c>
      <c r="F49" s="3">
        <v>0</v>
      </c>
      <c r="G49" s="3">
        <v>0</v>
      </c>
      <c r="H49" s="3">
        <v>0</v>
      </c>
      <c r="I49" s="3">
        <v>0</v>
      </c>
      <c r="J49" s="3">
        <v>41.795041937759002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711.55889548229902</v>
      </c>
      <c r="Q49" s="3">
        <v>0</v>
      </c>
      <c r="R49" s="3">
        <v>0</v>
      </c>
      <c r="S49" s="3">
        <v>0</v>
      </c>
      <c r="T49" s="3">
        <v>0</v>
      </c>
      <c r="U49" s="3">
        <v>1144.13858879277</v>
      </c>
      <c r="V49" s="3">
        <v>0</v>
      </c>
      <c r="W49" s="3">
        <v>943.66496590571103</v>
      </c>
    </row>
    <row r="50" spans="1:23" x14ac:dyDescent="0.2">
      <c r="A50">
        <v>18</v>
      </c>
      <c r="B50">
        <f t="shared" si="0"/>
        <v>2033</v>
      </c>
      <c r="C50">
        <v>6005</v>
      </c>
      <c r="D50" s="3">
        <v>0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46.196281216373599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710.74269796459305</v>
      </c>
      <c r="Q50" s="3">
        <v>0</v>
      </c>
      <c r="R50" s="3">
        <v>0</v>
      </c>
      <c r="S50" s="3">
        <v>0</v>
      </c>
      <c r="T50" s="3">
        <v>0</v>
      </c>
      <c r="U50" s="3">
        <v>1615.26814069184</v>
      </c>
      <c r="V50" s="3">
        <v>0</v>
      </c>
      <c r="W50" s="3">
        <v>816.09569463762898</v>
      </c>
    </row>
    <row r="51" spans="1:23" x14ac:dyDescent="0.2">
      <c r="A51">
        <v>19</v>
      </c>
      <c r="B51">
        <f t="shared" si="0"/>
        <v>2034</v>
      </c>
      <c r="C51">
        <v>6005</v>
      </c>
      <c r="D51" s="3">
        <v>0</v>
      </c>
      <c r="E51" s="3">
        <v>0</v>
      </c>
      <c r="F51" s="3">
        <v>0</v>
      </c>
      <c r="G51" s="3">
        <v>0</v>
      </c>
      <c r="H51" s="3">
        <v>0</v>
      </c>
      <c r="I51" s="3">
        <v>0</v>
      </c>
      <c r="J51" s="3">
        <v>50.772348308295498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710.26755751766302</v>
      </c>
      <c r="Q51" s="3">
        <v>0</v>
      </c>
      <c r="R51" s="3">
        <v>0</v>
      </c>
      <c r="S51" s="3">
        <v>0</v>
      </c>
      <c r="T51" s="3">
        <v>0</v>
      </c>
      <c r="U51" s="3">
        <v>1473.2515643910399</v>
      </c>
      <c r="V51" s="3">
        <v>0</v>
      </c>
      <c r="W51" s="3">
        <v>887.99405934968104</v>
      </c>
    </row>
    <row r="52" spans="1:23" x14ac:dyDescent="0.2">
      <c r="A52">
        <v>20</v>
      </c>
      <c r="B52">
        <f t="shared" si="0"/>
        <v>2035</v>
      </c>
      <c r="C52">
        <v>6005</v>
      </c>
      <c r="D52" s="3">
        <v>0</v>
      </c>
      <c r="E52" s="3">
        <v>0</v>
      </c>
      <c r="F52" s="3">
        <v>0</v>
      </c>
      <c r="G52" s="3">
        <v>0</v>
      </c>
      <c r="H52" s="3">
        <v>0</v>
      </c>
      <c r="I52" s="3">
        <v>0</v>
      </c>
      <c r="J52" s="3">
        <v>55.510409121006802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710.93059378806004</v>
      </c>
      <c r="Q52" s="3">
        <v>0</v>
      </c>
      <c r="R52" s="3">
        <v>0</v>
      </c>
      <c r="S52" s="3">
        <v>0</v>
      </c>
      <c r="T52" s="3">
        <v>0</v>
      </c>
      <c r="U52" s="3">
        <v>1546.7340620303301</v>
      </c>
      <c r="V52" s="3">
        <v>0</v>
      </c>
      <c r="W52" s="3">
        <v>4507.6306358880001</v>
      </c>
    </row>
    <row r="53" spans="1:23" x14ac:dyDescent="0.2">
      <c r="A53">
        <v>21</v>
      </c>
      <c r="B53">
        <f t="shared" si="0"/>
        <v>2036</v>
      </c>
      <c r="C53">
        <v>6005</v>
      </c>
      <c r="D53" s="3">
        <v>0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60.260973243066204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711.02007101828997</v>
      </c>
      <c r="Q53" s="3">
        <v>0</v>
      </c>
      <c r="R53" s="3">
        <v>0</v>
      </c>
      <c r="S53" s="3">
        <v>0</v>
      </c>
      <c r="T53" s="3">
        <v>0</v>
      </c>
      <c r="U53" s="3">
        <v>1547.84136850909</v>
      </c>
      <c r="V53" s="3">
        <v>0</v>
      </c>
      <c r="W53" s="3">
        <v>926.08141095733299</v>
      </c>
    </row>
    <row r="54" spans="1:23" x14ac:dyDescent="0.2">
      <c r="A54">
        <v>22</v>
      </c>
      <c r="B54">
        <f t="shared" si="0"/>
        <v>2037</v>
      </c>
      <c r="C54">
        <v>6005</v>
      </c>
      <c r="D54" s="3">
        <v>0</v>
      </c>
      <c r="E54" s="3">
        <v>0</v>
      </c>
      <c r="F54" s="3">
        <v>0</v>
      </c>
      <c r="G54" s="3">
        <v>0</v>
      </c>
      <c r="H54" s="3">
        <v>0</v>
      </c>
      <c r="I54" s="3">
        <v>0</v>
      </c>
      <c r="J54" s="3">
        <v>66.070045006364495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713.32328518311704</v>
      </c>
      <c r="Q54" s="3">
        <v>0</v>
      </c>
      <c r="R54" s="3">
        <v>0</v>
      </c>
      <c r="S54" s="3">
        <v>0</v>
      </c>
      <c r="T54" s="3">
        <v>0</v>
      </c>
      <c r="U54" s="3">
        <v>1554.32298669735</v>
      </c>
      <c r="V54" s="3">
        <v>0</v>
      </c>
      <c r="W54" s="3">
        <v>991.67660639723704</v>
      </c>
    </row>
    <row r="55" spans="1:23" x14ac:dyDescent="0.2">
      <c r="A55">
        <v>23</v>
      </c>
      <c r="B55">
        <f t="shared" si="0"/>
        <v>2038</v>
      </c>
      <c r="C55">
        <v>6005</v>
      </c>
      <c r="D55" s="3">
        <v>0</v>
      </c>
      <c r="E55" s="3">
        <v>0</v>
      </c>
      <c r="F55" s="3">
        <v>0</v>
      </c>
      <c r="G55" s="3">
        <v>0</v>
      </c>
      <c r="H55" s="3">
        <v>0</v>
      </c>
      <c r="I55" s="3">
        <v>0</v>
      </c>
      <c r="J55" s="3">
        <v>62.805433158453198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716.82984251185201</v>
      </c>
      <c r="Q55" s="3">
        <v>0</v>
      </c>
      <c r="R55" s="3">
        <v>0</v>
      </c>
      <c r="S55" s="3">
        <v>0</v>
      </c>
      <c r="T55" s="3">
        <v>0</v>
      </c>
      <c r="U55" s="3">
        <v>1568.88089414149</v>
      </c>
      <c r="V55" s="3">
        <v>0</v>
      </c>
      <c r="W55" s="3">
        <v>1362.28340891529</v>
      </c>
    </row>
    <row r="56" spans="1:23" x14ac:dyDescent="0.2">
      <c r="A56">
        <v>24</v>
      </c>
      <c r="B56">
        <f t="shared" si="0"/>
        <v>2039</v>
      </c>
      <c r="C56">
        <v>6005</v>
      </c>
      <c r="D56" s="3">
        <v>0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66.508977788876095</v>
      </c>
      <c r="K56" s="3">
        <v>0</v>
      </c>
      <c r="L56" s="3">
        <v>0</v>
      </c>
      <c r="M56" s="3">
        <v>0</v>
      </c>
      <c r="N56" s="3">
        <v>0</v>
      </c>
      <c r="O56" s="3">
        <v>0</v>
      </c>
      <c r="P56" s="3">
        <v>1458.77366190923</v>
      </c>
      <c r="Q56" s="3">
        <v>0</v>
      </c>
      <c r="R56" s="3">
        <v>0</v>
      </c>
      <c r="S56" s="3">
        <v>0</v>
      </c>
      <c r="T56" s="3">
        <v>0</v>
      </c>
      <c r="U56" s="3">
        <v>2318.8505393613</v>
      </c>
      <c r="V56" s="3">
        <v>0</v>
      </c>
      <c r="W56" s="3">
        <v>899.53606248878805</v>
      </c>
    </row>
    <row r="57" spans="1:23" x14ac:dyDescent="0.2">
      <c r="A57">
        <v>25</v>
      </c>
      <c r="B57">
        <f t="shared" si="0"/>
        <v>2040</v>
      </c>
      <c r="C57">
        <v>6005</v>
      </c>
      <c r="D57" s="3">
        <v>0</v>
      </c>
      <c r="E57" s="3">
        <v>0</v>
      </c>
      <c r="F57" s="3">
        <v>0</v>
      </c>
      <c r="G57" s="3">
        <v>0</v>
      </c>
      <c r="H57" s="3">
        <v>0</v>
      </c>
      <c r="I57" s="3">
        <v>0</v>
      </c>
      <c r="J57" s="3">
        <v>193.726943999513</v>
      </c>
      <c r="K57" s="3">
        <v>0</v>
      </c>
      <c r="L57" s="3">
        <v>0</v>
      </c>
      <c r="M57" s="3">
        <v>0</v>
      </c>
      <c r="N57" s="3">
        <v>6133.4608124180604</v>
      </c>
      <c r="O57" s="3">
        <v>0</v>
      </c>
      <c r="P57" s="3">
        <v>0</v>
      </c>
      <c r="Q57" s="3">
        <v>0</v>
      </c>
      <c r="R57" s="3">
        <v>0</v>
      </c>
      <c r="S57" s="3">
        <v>0</v>
      </c>
      <c r="T57" s="3">
        <v>0</v>
      </c>
      <c r="U57" s="3">
        <v>1214.41848494224</v>
      </c>
      <c r="V57" s="3">
        <v>0</v>
      </c>
      <c r="W57" s="3">
        <v>4223.3455910033499</v>
      </c>
    </row>
    <row r="58" spans="1:23" x14ac:dyDescent="0.2">
      <c r="A58">
        <v>26</v>
      </c>
      <c r="B58">
        <f t="shared" si="0"/>
        <v>2041</v>
      </c>
      <c r="C58">
        <v>6005</v>
      </c>
      <c r="D58" s="3">
        <v>0</v>
      </c>
      <c r="E58" s="3">
        <v>0</v>
      </c>
      <c r="F58" s="3">
        <v>0</v>
      </c>
      <c r="G58" s="3">
        <v>0</v>
      </c>
      <c r="H58" s="3">
        <v>0</v>
      </c>
      <c r="I58" s="3">
        <v>0</v>
      </c>
      <c r="J58" s="3">
        <v>0</v>
      </c>
      <c r="K58" s="3">
        <v>0</v>
      </c>
      <c r="L58" s="3">
        <v>0</v>
      </c>
      <c r="M58" s="3">
        <v>0</v>
      </c>
      <c r="N58" s="3">
        <v>317.54882971268898</v>
      </c>
      <c r="O58" s="3">
        <v>0</v>
      </c>
      <c r="P58" s="3">
        <v>1445.64831757509</v>
      </c>
      <c r="Q58" s="3">
        <v>0</v>
      </c>
      <c r="R58" s="3">
        <v>0</v>
      </c>
      <c r="S58" s="3">
        <v>0</v>
      </c>
      <c r="T58" s="3">
        <v>0</v>
      </c>
      <c r="U58" s="3">
        <v>1275.7256702913601</v>
      </c>
      <c r="V58" s="3">
        <v>0</v>
      </c>
      <c r="W58" s="3">
        <v>919.90041431421901</v>
      </c>
    </row>
    <row r="59" spans="1:23" x14ac:dyDescent="0.2">
      <c r="A59">
        <v>27</v>
      </c>
      <c r="B59">
        <f t="shared" si="0"/>
        <v>2042</v>
      </c>
      <c r="C59">
        <v>6005</v>
      </c>
      <c r="D59" s="3">
        <v>0</v>
      </c>
      <c r="E59" s="3">
        <v>0</v>
      </c>
      <c r="F59" s="3">
        <v>0</v>
      </c>
      <c r="G59" s="3">
        <v>0</v>
      </c>
      <c r="H59" s="3">
        <v>0</v>
      </c>
      <c r="I59" s="3">
        <v>0</v>
      </c>
      <c r="J59" s="3">
        <v>81.321271816364003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767.57035204380895</v>
      </c>
      <c r="Q59" s="3">
        <v>0</v>
      </c>
      <c r="R59" s="3">
        <v>0</v>
      </c>
      <c r="S59" s="3">
        <v>0</v>
      </c>
      <c r="T59" s="3">
        <v>0</v>
      </c>
      <c r="U59" s="3">
        <v>1892.87269139249</v>
      </c>
      <c r="V59" s="3">
        <v>0</v>
      </c>
      <c r="W59" s="3">
        <v>425.5717292256</v>
      </c>
    </row>
    <row r="60" spans="1:23" x14ac:dyDescent="0.2">
      <c r="A60">
        <v>28</v>
      </c>
      <c r="B60">
        <f t="shared" si="0"/>
        <v>2043</v>
      </c>
      <c r="C60">
        <v>6005</v>
      </c>
      <c r="D60" s="3">
        <v>0</v>
      </c>
      <c r="E60" s="3">
        <v>0</v>
      </c>
      <c r="F60" s="3">
        <v>0</v>
      </c>
      <c r="G60" s="3">
        <v>0</v>
      </c>
      <c r="H60" s="3">
        <v>0</v>
      </c>
      <c r="I60" s="3">
        <v>0</v>
      </c>
      <c r="J60" s="3">
        <v>123.217426956081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383.30682027338599</v>
      </c>
      <c r="Q60" s="3">
        <v>0</v>
      </c>
      <c r="R60" s="3">
        <v>0</v>
      </c>
      <c r="S60" s="3">
        <v>0</v>
      </c>
      <c r="T60" s="3">
        <v>0</v>
      </c>
      <c r="U60" s="3">
        <v>2252.1114768847801</v>
      </c>
      <c r="V60" s="3">
        <v>77.867867261255199</v>
      </c>
      <c r="W60" s="3">
        <v>0</v>
      </c>
    </row>
    <row r="61" spans="1:23" x14ac:dyDescent="0.2">
      <c r="A61">
        <v>29</v>
      </c>
      <c r="B61">
        <f t="shared" si="0"/>
        <v>2044</v>
      </c>
      <c r="C61">
        <v>6005</v>
      </c>
      <c r="D61" s="3">
        <v>0</v>
      </c>
      <c r="E61" s="3">
        <v>0</v>
      </c>
      <c r="F61" s="3">
        <v>0</v>
      </c>
      <c r="G61" s="3">
        <v>0</v>
      </c>
      <c r="H61" s="3">
        <v>0</v>
      </c>
      <c r="I61" s="3">
        <v>0</v>
      </c>
      <c r="J61" s="3">
        <v>212.50163883146601</v>
      </c>
      <c r="K61" s="3">
        <v>0</v>
      </c>
      <c r="L61" s="3">
        <v>3547.6707780004499</v>
      </c>
      <c r="M61" s="3">
        <v>0</v>
      </c>
      <c r="N61" s="3">
        <v>0</v>
      </c>
      <c r="O61" s="3">
        <v>0</v>
      </c>
      <c r="P61" s="3">
        <v>1812.8582330540601</v>
      </c>
      <c r="Q61" s="3">
        <v>0</v>
      </c>
      <c r="R61" s="3">
        <v>0</v>
      </c>
      <c r="S61" s="3">
        <v>0</v>
      </c>
      <c r="T61" s="3">
        <v>0</v>
      </c>
      <c r="U61" s="3">
        <v>1854.76387482686</v>
      </c>
      <c r="V61" s="3">
        <v>391.45758375650098</v>
      </c>
      <c r="W61" s="3">
        <v>376.44892394565301</v>
      </c>
    </row>
    <row r="62" spans="1:23" x14ac:dyDescent="0.2">
      <c r="A62">
        <v>30</v>
      </c>
      <c r="B62">
        <f t="shared" si="0"/>
        <v>2045</v>
      </c>
      <c r="C62">
        <v>6005</v>
      </c>
      <c r="D62" s="3">
        <v>0</v>
      </c>
      <c r="E62" s="3">
        <v>0</v>
      </c>
      <c r="F62" s="3">
        <v>0</v>
      </c>
      <c r="G62" s="3">
        <v>0</v>
      </c>
      <c r="H62" s="3">
        <v>0</v>
      </c>
      <c r="I62" s="3">
        <v>0</v>
      </c>
      <c r="J62" s="3">
        <v>106.20724886647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1745.94065599432</v>
      </c>
      <c r="Q62" s="3">
        <v>0</v>
      </c>
      <c r="R62" s="3">
        <v>7464.32131351113</v>
      </c>
      <c r="S62" s="3">
        <v>0</v>
      </c>
      <c r="T62" s="3">
        <v>0</v>
      </c>
      <c r="U62" s="3">
        <v>3358.5674056170501</v>
      </c>
      <c r="V62" s="3">
        <v>395.96685205143399</v>
      </c>
      <c r="W62" s="3">
        <v>2427.3042178391602</v>
      </c>
    </row>
    <row r="63" spans="1:23" x14ac:dyDescent="0.2">
      <c r="A63">
        <v>31</v>
      </c>
      <c r="B63">
        <f t="shared" si="0"/>
        <v>2046</v>
      </c>
      <c r="C63">
        <v>6005</v>
      </c>
      <c r="D63" s="3">
        <v>0</v>
      </c>
      <c r="E63" s="3">
        <v>0</v>
      </c>
      <c r="F63" s="3">
        <v>0</v>
      </c>
      <c r="G63" s="3">
        <v>0</v>
      </c>
      <c r="H63" s="3">
        <v>0</v>
      </c>
      <c r="I63" s="3">
        <v>0</v>
      </c>
      <c r="J63" s="3">
        <v>84.172247212615204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1215.62511297844</v>
      </c>
      <c r="Q63" s="3">
        <v>0</v>
      </c>
      <c r="R63" s="3">
        <v>187.56565200581801</v>
      </c>
      <c r="S63" s="3">
        <v>0</v>
      </c>
      <c r="T63" s="3">
        <v>0</v>
      </c>
      <c r="U63" s="3">
        <v>1910.3803870182601</v>
      </c>
      <c r="V63" s="3">
        <v>343.12044373642198</v>
      </c>
      <c r="W63" s="3">
        <v>523.30665736573303</v>
      </c>
    </row>
    <row r="64" spans="1:23" x14ac:dyDescent="0.2">
      <c r="A64">
        <v>32</v>
      </c>
      <c r="B64">
        <f t="shared" si="0"/>
        <v>2047</v>
      </c>
      <c r="C64">
        <v>6005</v>
      </c>
      <c r="D64" s="3">
        <v>0</v>
      </c>
      <c r="E64" s="3">
        <v>0</v>
      </c>
      <c r="F64" s="3">
        <v>0</v>
      </c>
      <c r="G64" s="3">
        <v>0</v>
      </c>
      <c r="H64" s="3">
        <v>0</v>
      </c>
      <c r="I64" s="3">
        <v>0</v>
      </c>
      <c r="J64" s="3">
        <v>172.195281141484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815.73391226177398</v>
      </c>
      <c r="Q64" s="3">
        <v>0</v>
      </c>
      <c r="R64" s="3">
        <v>809.542041950927</v>
      </c>
      <c r="S64" s="3">
        <v>0</v>
      </c>
      <c r="T64" s="3">
        <v>0</v>
      </c>
      <c r="U64" s="3">
        <v>2799.5339043222798</v>
      </c>
      <c r="V64" s="3">
        <v>0</v>
      </c>
      <c r="W64" s="3">
        <v>1352.7176873001799</v>
      </c>
    </row>
    <row r="65" spans="1:25" x14ac:dyDescent="0.2">
      <c r="A65">
        <v>33</v>
      </c>
      <c r="B65">
        <f t="shared" si="0"/>
        <v>2048</v>
      </c>
      <c r="C65">
        <v>6005</v>
      </c>
      <c r="D65" s="3">
        <v>0</v>
      </c>
      <c r="E65" s="3">
        <v>0</v>
      </c>
      <c r="F65" s="3">
        <v>0</v>
      </c>
      <c r="G65" s="3">
        <v>0</v>
      </c>
      <c r="H65" s="3">
        <v>0</v>
      </c>
      <c r="I65" s="3">
        <v>0</v>
      </c>
      <c r="J65" s="3">
        <v>139.21329350662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916.65656166101701</v>
      </c>
      <c r="Q65" s="3">
        <v>0</v>
      </c>
      <c r="R65" s="3">
        <v>0</v>
      </c>
      <c r="S65" s="3">
        <v>0</v>
      </c>
      <c r="T65" s="3">
        <v>0</v>
      </c>
      <c r="U65" s="3">
        <v>2496.5768845530401</v>
      </c>
      <c r="V65" s="3">
        <v>0</v>
      </c>
      <c r="W65" s="3">
        <v>843.17744237873899</v>
      </c>
    </row>
    <row r="66" spans="1:25" x14ac:dyDescent="0.2">
      <c r="A66">
        <v>34</v>
      </c>
      <c r="B66">
        <f t="shared" si="0"/>
        <v>2049</v>
      </c>
      <c r="C66">
        <v>6005</v>
      </c>
      <c r="D66" s="3">
        <v>0</v>
      </c>
      <c r="E66" s="3">
        <v>0</v>
      </c>
      <c r="F66" s="3">
        <v>0</v>
      </c>
      <c r="G66" s="3">
        <v>0</v>
      </c>
      <c r="H66" s="3">
        <v>0</v>
      </c>
      <c r="I66" s="3">
        <v>0</v>
      </c>
      <c r="J66" s="3">
        <v>151.18236379475701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1218.1563087224299</v>
      </c>
      <c r="Q66" s="3">
        <v>0</v>
      </c>
      <c r="R66" s="3">
        <v>0</v>
      </c>
      <c r="S66" s="3">
        <v>0</v>
      </c>
      <c r="T66" s="3">
        <v>0</v>
      </c>
      <c r="U66" s="3">
        <v>2668.4121006658702</v>
      </c>
      <c r="V66" s="3">
        <v>0</v>
      </c>
      <c r="W66" s="3">
        <v>1422.2813306353401</v>
      </c>
    </row>
    <row r="67" spans="1:25" x14ac:dyDescent="0.2">
      <c r="A67">
        <v>35</v>
      </c>
      <c r="B67">
        <f t="shared" si="0"/>
        <v>2050</v>
      </c>
      <c r="C67">
        <v>6005</v>
      </c>
      <c r="D67" s="3">
        <v>0</v>
      </c>
      <c r="E67" s="3">
        <v>0</v>
      </c>
      <c r="F67" s="3">
        <v>0</v>
      </c>
      <c r="G67" s="3">
        <v>0</v>
      </c>
      <c r="H67" s="3">
        <v>0</v>
      </c>
      <c r="I67" s="3">
        <v>0</v>
      </c>
      <c r="J67" s="3">
        <v>158.94128213050601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3">
        <v>1278.9152102544199</v>
      </c>
      <c r="Q67" s="3">
        <v>0</v>
      </c>
      <c r="R67" s="3">
        <v>0</v>
      </c>
      <c r="S67" s="3">
        <v>0</v>
      </c>
      <c r="T67" s="3">
        <v>0</v>
      </c>
      <c r="U67" s="3">
        <v>2259.4593131121901</v>
      </c>
      <c r="V67" s="3">
        <v>0</v>
      </c>
      <c r="W67" s="3">
        <v>2520.7121747418701</v>
      </c>
    </row>
    <row r="68" spans="1:25" x14ac:dyDescent="0.2">
      <c r="A68">
        <v>36</v>
      </c>
      <c r="B68">
        <f t="shared" si="0"/>
        <v>2051</v>
      </c>
      <c r="C68">
        <v>6005</v>
      </c>
      <c r="D68" s="3">
        <v>0</v>
      </c>
      <c r="E68" s="3">
        <v>0</v>
      </c>
      <c r="F68" s="3">
        <v>0</v>
      </c>
      <c r="G68" s="3">
        <v>0</v>
      </c>
      <c r="H68" s="3">
        <v>0</v>
      </c>
      <c r="I68" s="3">
        <v>0</v>
      </c>
      <c r="J68" s="3">
        <v>208.56092830464499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1174.0511834295</v>
      </c>
      <c r="Q68" s="3">
        <v>0</v>
      </c>
      <c r="R68" s="3">
        <v>167.724013882279</v>
      </c>
      <c r="S68" s="3">
        <v>0</v>
      </c>
      <c r="T68" s="3">
        <v>0</v>
      </c>
      <c r="U68" s="3">
        <v>2233.9333353434799</v>
      </c>
      <c r="V68" s="3">
        <v>0</v>
      </c>
      <c r="W68" s="3">
        <v>3115.65473658165</v>
      </c>
    </row>
    <row r="69" spans="1:25" x14ac:dyDescent="0.2">
      <c r="A69">
        <v>37</v>
      </c>
      <c r="B69">
        <f t="shared" si="0"/>
        <v>2052</v>
      </c>
      <c r="C69">
        <v>6005</v>
      </c>
      <c r="D69" s="3">
        <v>0</v>
      </c>
      <c r="E69" s="3">
        <v>0</v>
      </c>
      <c r="F69" s="3">
        <v>0</v>
      </c>
      <c r="G69" s="3">
        <v>0</v>
      </c>
      <c r="H69" s="3">
        <v>0</v>
      </c>
      <c r="I69" s="3">
        <v>0</v>
      </c>
      <c r="J69" s="3">
        <v>304.97492461385099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964.86102602539904</v>
      </c>
      <c r="Q69" s="3">
        <v>0</v>
      </c>
      <c r="R69" s="3">
        <v>189.418824752809</v>
      </c>
      <c r="S69" s="3">
        <v>0</v>
      </c>
      <c r="T69" s="3">
        <v>0</v>
      </c>
      <c r="U69" s="3">
        <v>3310.4209784283098</v>
      </c>
      <c r="V69" s="3">
        <v>0</v>
      </c>
      <c r="W69" s="3">
        <v>3042.9460593102599</v>
      </c>
    </row>
    <row r="70" spans="1:25" x14ac:dyDescent="0.2">
      <c r="A70">
        <v>38</v>
      </c>
      <c r="B70">
        <f t="shared" si="0"/>
        <v>2053</v>
      </c>
      <c r="C70">
        <v>6005</v>
      </c>
      <c r="D70" s="3">
        <v>0</v>
      </c>
      <c r="E70" s="3">
        <v>0</v>
      </c>
      <c r="F70" s="3">
        <v>0</v>
      </c>
      <c r="G70" s="3">
        <v>0</v>
      </c>
      <c r="H70" s="3">
        <v>0</v>
      </c>
      <c r="I70" s="3">
        <v>0</v>
      </c>
      <c r="J70" s="3">
        <v>188.89721001668599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827.31481022743901</v>
      </c>
      <c r="Q70" s="3">
        <v>0</v>
      </c>
      <c r="R70" s="3">
        <v>347.97624532057</v>
      </c>
      <c r="S70" s="3">
        <v>0</v>
      </c>
      <c r="T70" s="3">
        <v>0</v>
      </c>
      <c r="U70" s="3">
        <v>3412.9920117226302</v>
      </c>
      <c r="V70" s="3">
        <v>0</v>
      </c>
      <c r="W70" s="3">
        <v>9588.9603213874507</v>
      </c>
    </row>
    <row r="71" spans="1:25" x14ac:dyDescent="0.2">
      <c r="A71">
        <v>39</v>
      </c>
      <c r="B71">
        <f t="shared" si="0"/>
        <v>2054</v>
      </c>
      <c r="C71">
        <v>6005</v>
      </c>
      <c r="D71" s="3">
        <v>0</v>
      </c>
      <c r="E71" s="3">
        <v>0</v>
      </c>
      <c r="F71" s="3">
        <v>0</v>
      </c>
      <c r="G71" s="3">
        <v>0</v>
      </c>
      <c r="H71" s="3">
        <v>0</v>
      </c>
      <c r="I71" s="3">
        <v>0</v>
      </c>
      <c r="J71" s="3">
        <v>196.85094021872899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809.76037455359403</v>
      </c>
      <c r="Q71" s="3">
        <v>0</v>
      </c>
      <c r="R71" s="3">
        <v>0</v>
      </c>
      <c r="S71" s="3">
        <v>0</v>
      </c>
      <c r="T71" s="3">
        <v>0</v>
      </c>
      <c r="U71" s="3">
        <v>4480.7150954624703</v>
      </c>
      <c r="V71" s="3">
        <v>0</v>
      </c>
      <c r="W71" s="3">
        <v>0</v>
      </c>
    </row>
    <row r="72" spans="1:25" x14ac:dyDescent="0.2">
      <c r="A72">
        <v>40</v>
      </c>
      <c r="B72">
        <f t="shared" si="0"/>
        <v>2055</v>
      </c>
      <c r="C72">
        <v>6005</v>
      </c>
      <c r="D72" s="3">
        <v>0</v>
      </c>
      <c r="E72" s="3">
        <v>0</v>
      </c>
      <c r="F72" s="3">
        <v>0</v>
      </c>
      <c r="G72" s="3">
        <v>0</v>
      </c>
      <c r="H72" s="3">
        <v>0</v>
      </c>
      <c r="I72" s="3">
        <v>0</v>
      </c>
      <c r="J72" s="3">
        <v>204.70384074818099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778.45060549603102</v>
      </c>
      <c r="Q72" s="3">
        <v>0</v>
      </c>
      <c r="R72" s="3">
        <v>0</v>
      </c>
      <c r="S72" s="3">
        <v>0</v>
      </c>
      <c r="T72" s="3">
        <v>0</v>
      </c>
      <c r="U72" s="3">
        <v>4016.9327498858001</v>
      </c>
      <c r="V72" s="3">
        <v>0</v>
      </c>
      <c r="W72" s="3">
        <v>3678.7229683793898</v>
      </c>
    </row>
    <row r="73" spans="1:25" x14ac:dyDescent="0.2">
      <c r="A73">
        <v>41</v>
      </c>
      <c r="B73">
        <f t="shared" si="0"/>
        <v>2056</v>
      </c>
      <c r="C73">
        <v>6005</v>
      </c>
      <c r="D73" s="3">
        <v>0</v>
      </c>
      <c r="E73" s="3">
        <v>0</v>
      </c>
      <c r="F73" s="3">
        <v>0</v>
      </c>
      <c r="G73" s="3">
        <v>0</v>
      </c>
      <c r="H73" s="3">
        <v>0</v>
      </c>
      <c r="I73" s="3">
        <v>0</v>
      </c>
      <c r="J73" s="3">
        <v>212.549811841696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1100.8114676949599</v>
      </c>
      <c r="Q73" s="3">
        <v>0</v>
      </c>
      <c r="R73" s="3">
        <v>0</v>
      </c>
      <c r="S73" s="3">
        <v>0</v>
      </c>
      <c r="T73" s="3">
        <v>0</v>
      </c>
      <c r="U73" s="3">
        <v>5775.3088012684002</v>
      </c>
      <c r="V73" s="3">
        <v>0</v>
      </c>
      <c r="W73" s="3">
        <v>6.9698943224517498</v>
      </c>
    </row>
    <row r="74" spans="1:25" x14ac:dyDescent="0.2">
      <c r="A74">
        <v>42</v>
      </c>
      <c r="B74">
        <f t="shared" si="0"/>
        <v>2057</v>
      </c>
      <c r="C74">
        <v>6005</v>
      </c>
      <c r="D74" s="3">
        <v>0</v>
      </c>
      <c r="E74" s="3">
        <v>0</v>
      </c>
      <c r="F74" s="3">
        <v>0</v>
      </c>
      <c r="G74" s="3">
        <v>0</v>
      </c>
      <c r="H74" s="3">
        <v>0</v>
      </c>
      <c r="I74" s="3">
        <v>0</v>
      </c>
      <c r="J74" s="3">
        <v>221.59982307403499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1390.0867998179299</v>
      </c>
      <c r="Q74" s="3">
        <v>0</v>
      </c>
      <c r="R74" s="3">
        <v>0</v>
      </c>
      <c r="S74" s="3">
        <v>0</v>
      </c>
      <c r="T74" s="3">
        <v>0</v>
      </c>
      <c r="U74" s="3">
        <v>3862.70948044324</v>
      </c>
      <c r="V74" s="3">
        <v>0</v>
      </c>
      <c r="W74" s="3">
        <v>79.180457955519699</v>
      </c>
    </row>
    <row r="75" spans="1:25" x14ac:dyDescent="0.2">
      <c r="A75">
        <v>43</v>
      </c>
      <c r="B75">
        <f t="shared" si="0"/>
        <v>2058</v>
      </c>
      <c r="C75">
        <v>6005</v>
      </c>
      <c r="D75" s="3">
        <v>0</v>
      </c>
      <c r="E75" s="3">
        <v>0</v>
      </c>
      <c r="F75" s="3">
        <v>0</v>
      </c>
      <c r="G75" s="3">
        <v>0</v>
      </c>
      <c r="H75" s="3">
        <v>0</v>
      </c>
      <c r="I75" s="3">
        <v>0</v>
      </c>
      <c r="J75" s="3">
        <v>221.593866637921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2010.8489058221601</v>
      </c>
      <c r="Q75" s="3">
        <v>0</v>
      </c>
      <c r="R75" s="3">
        <v>0</v>
      </c>
      <c r="S75" s="3">
        <v>0</v>
      </c>
      <c r="T75" s="3">
        <v>0</v>
      </c>
      <c r="U75" s="3">
        <v>6418.8831594217199</v>
      </c>
      <c r="V75" s="3">
        <v>0</v>
      </c>
      <c r="W75" s="3">
        <v>516.42672008025795</v>
      </c>
    </row>
    <row r="76" spans="1:25" x14ac:dyDescent="0.2">
      <c r="A76">
        <v>44</v>
      </c>
      <c r="B76">
        <f t="shared" si="0"/>
        <v>2059</v>
      </c>
      <c r="C76">
        <v>6005</v>
      </c>
      <c r="D76" s="3">
        <v>0</v>
      </c>
      <c r="E76" s="3">
        <v>0</v>
      </c>
      <c r="F76" s="3">
        <v>0</v>
      </c>
      <c r="G76" s="3">
        <v>0</v>
      </c>
      <c r="H76" s="3">
        <v>0</v>
      </c>
      <c r="I76" s="3">
        <v>0</v>
      </c>
      <c r="J76" s="3">
        <v>0</v>
      </c>
      <c r="K76" s="3">
        <v>0</v>
      </c>
      <c r="L76" s="3">
        <v>0</v>
      </c>
      <c r="M76" s="3">
        <v>0</v>
      </c>
      <c r="N76" s="3">
        <v>0</v>
      </c>
      <c r="O76" s="3">
        <v>0</v>
      </c>
      <c r="P76" s="3">
        <v>1216.77270715692</v>
      </c>
      <c r="Q76" s="3">
        <v>0</v>
      </c>
      <c r="R76" s="3">
        <v>0</v>
      </c>
      <c r="S76" s="3">
        <v>0</v>
      </c>
      <c r="T76" s="3">
        <v>0</v>
      </c>
      <c r="U76" s="3">
        <v>5447.60651884237</v>
      </c>
      <c r="V76" s="3">
        <v>0</v>
      </c>
      <c r="W76" s="3">
        <v>0</v>
      </c>
    </row>
    <row r="77" spans="1:25" x14ac:dyDescent="0.2">
      <c r="A77">
        <v>45</v>
      </c>
      <c r="B77">
        <f t="shared" si="0"/>
        <v>2060</v>
      </c>
      <c r="C77">
        <v>6005</v>
      </c>
      <c r="D77" s="3">
        <v>0</v>
      </c>
      <c r="E77" s="3">
        <v>0</v>
      </c>
      <c r="F77" s="3">
        <v>0</v>
      </c>
      <c r="G77" s="3">
        <v>0</v>
      </c>
      <c r="H77" s="3">
        <v>0</v>
      </c>
      <c r="I77" s="3">
        <v>0</v>
      </c>
      <c r="J77" s="3">
        <v>0</v>
      </c>
      <c r="K77" s="3">
        <v>0</v>
      </c>
      <c r="L77" s="3">
        <v>0</v>
      </c>
      <c r="M77" s="3">
        <v>0</v>
      </c>
      <c r="N77" s="3">
        <v>0</v>
      </c>
      <c r="O77" s="3">
        <v>0</v>
      </c>
      <c r="P77" s="3">
        <v>5767.3618818656896</v>
      </c>
      <c r="Q77" s="3">
        <v>0</v>
      </c>
      <c r="R77" s="3">
        <v>0</v>
      </c>
      <c r="S77" s="3">
        <v>0</v>
      </c>
      <c r="T77" s="3">
        <v>0</v>
      </c>
      <c r="U77" s="3">
        <v>2557.4693186875402</v>
      </c>
      <c r="V77" s="3">
        <v>0</v>
      </c>
      <c r="W77" s="3">
        <v>0</v>
      </c>
    </row>
    <row r="79" spans="1:25" x14ac:dyDescent="0.2">
      <c r="C79">
        <v>6004</v>
      </c>
      <c r="D79" s="3">
        <f>+D40-D2</f>
        <v>0</v>
      </c>
      <c r="E79" s="3">
        <f t="shared" ref="E79:W79" si="1">+E40-E2</f>
        <v>0</v>
      </c>
      <c r="F79" s="3">
        <f t="shared" si="1"/>
        <v>0</v>
      </c>
      <c r="G79" s="3">
        <f t="shared" si="1"/>
        <v>0</v>
      </c>
      <c r="H79" s="3">
        <f t="shared" si="1"/>
        <v>0</v>
      </c>
      <c r="I79" s="3">
        <f t="shared" si="1"/>
        <v>0</v>
      </c>
      <c r="J79" s="3">
        <f t="shared" si="1"/>
        <v>3.5615053575628906E-2</v>
      </c>
      <c r="K79" s="3">
        <f t="shared" si="1"/>
        <v>0</v>
      </c>
      <c r="L79" s="3">
        <f t="shared" si="1"/>
        <v>0</v>
      </c>
      <c r="M79" s="3">
        <f t="shared" si="1"/>
        <v>0</v>
      </c>
      <c r="N79" s="3">
        <f t="shared" si="1"/>
        <v>0</v>
      </c>
      <c r="O79" s="3">
        <f t="shared" si="1"/>
        <v>0</v>
      </c>
      <c r="P79" s="3">
        <f t="shared" si="1"/>
        <v>0</v>
      </c>
      <c r="Q79" s="3">
        <f t="shared" si="1"/>
        <v>0</v>
      </c>
      <c r="R79" s="3">
        <f t="shared" si="1"/>
        <v>0</v>
      </c>
      <c r="S79" s="3">
        <f t="shared" si="1"/>
        <v>0</v>
      </c>
      <c r="T79" s="3">
        <f t="shared" si="1"/>
        <v>0</v>
      </c>
      <c r="U79" s="3">
        <f t="shared" si="1"/>
        <v>0</v>
      </c>
      <c r="V79" s="3">
        <f t="shared" si="1"/>
        <v>0.53226954274190064</v>
      </c>
      <c r="W79" s="3">
        <f t="shared" si="1"/>
        <v>0</v>
      </c>
      <c r="Y79" s="2" cm="1">
        <f t="array" ref="Y79">+SUM(D79:W79*1000000)/1000000000</f>
        <v>5.6788459631752959E-4</v>
      </c>
    </row>
    <row r="80" spans="1:25" x14ac:dyDescent="0.2">
      <c r="C80">
        <v>6004</v>
      </c>
      <c r="D80" s="3">
        <f t="shared" ref="D80:W92" si="2">+D41-D3</f>
        <v>0</v>
      </c>
      <c r="E80" s="3">
        <f t="shared" si="2"/>
        <v>0</v>
      </c>
      <c r="F80" s="3">
        <f t="shared" si="2"/>
        <v>0</v>
      </c>
      <c r="G80" s="3">
        <f t="shared" si="2"/>
        <v>0</v>
      </c>
      <c r="H80" s="3">
        <f t="shared" si="2"/>
        <v>0</v>
      </c>
      <c r="I80" s="3">
        <f t="shared" si="2"/>
        <v>0</v>
      </c>
      <c r="J80" s="3">
        <f t="shared" si="2"/>
        <v>3.63736632957199E-2</v>
      </c>
      <c r="K80" s="3">
        <f t="shared" si="2"/>
        <v>0</v>
      </c>
      <c r="L80" s="3">
        <f t="shared" si="2"/>
        <v>0</v>
      </c>
      <c r="M80" s="3">
        <f t="shared" si="2"/>
        <v>0</v>
      </c>
      <c r="N80" s="3">
        <f t="shared" si="2"/>
        <v>0</v>
      </c>
      <c r="O80" s="3">
        <f t="shared" si="2"/>
        <v>0</v>
      </c>
      <c r="P80" s="3">
        <f t="shared" si="2"/>
        <v>0</v>
      </c>
      <c r="Q80" s="3">
        <f t="shared" si="2"/>
        <v>0</v>
      </c>
      <c r="R80" s="3">
        <f t="shared" si="2"/>
        <v>0</v>
      </c>
      <c r="S80" s="3">
        <f t="shared" si="2"/>
        <v>0</v>
      </c>
      <c r="T80" s="3">
        <f t="shared" si="2"/>
        <v>0</v>
      </c>
      <c r="U80" s="3">
        <f t="shared" si="2"/>
        <v>89.076992704342047</v>
      </c>
      <c r="V80" s="3">
        <f t="shared" si="2"/>
        <v>0.54416140377259836</v>
      </c>
      <c r="W80" s="3">
        <f t="shared" si="2"/>
        <v>0</v>
      </c>
      <c r="Y80" s="2" cm="1">
        <f t="array" ref="Y80">+SUM(D80:W80*1000000)/1000000000</f>
        <v>8.9657527771410367E-2</v>
      </c>
    </row>
    <row r="81" spans="3:25" x14ac:dyDescent="0.2">
      <c r="C81">
        <v>6004</v>
      </c>
      <c r="D81" s="3">
        <f t="shared" si="2"/>
        <v>0</v>
      </c>
      <c r="E81" s="3">
        <f t="shared" si="2"/>
        <v>0</v>
      </c>
      <c r="F81" s="3">
        <f t="shared" si="2"/>
        <v>0</v>
      </c>
      <c r="G81" s="3">
        <f t="shared" si="2"/>
        <v>0</v>
      </c>
      <c r="H81" s="3">
        <f t="shared" si="2"/>
        <v>0</v>
      </c>
      <c r="I81" s="3">
        <f t="shared" si="2"/>
        <v>0</v>
      </c>
      <c r="J81" s="3">
        <f t="shared" si="2"/>
        <v>3.6849325856832094E-2</v>
      </c>
      <c r="K81" s="3">
        <f t="shared" si="2"/>
        <v>0</v>
      </c>
      <c r="L81" s="3">
        <f t="shared" si="2"/>
        <v>0</v>
      </c>
      <c r="M81" s="3">
        <f t="shared" si="2"/>
        <v>0</v>
      </c>
      <c r="N81" s="3">
        <f t="shared" si="2"/>
        <v>0</v>
      </c>
      <c r="O81" s="3">
        <f t="shared" si="2"/>
        <v>0</v>
      </c>
      <c r="P81" s="3">
        <f t="shared" si="2"/>
        <v>0</v>
      </c>
      <c r="Q81" s="3">
        <f t="shared" si="2"/>
        <v>0</v>
      </c>
      <c r="R81" s="3">
        <f t="shared" si="2"/>
        <v>0</v>
      </c>
      <c r="S81" s="3">
        <f t="shared" si="2"/>
        <v>0</v>
      </c>
      <c r="T81" s="3">
        <f t="shared" si="2"/>
        <v>0</v>
      </c>
      <c r="U81" s="3">
        <f t="shared" si="2"/>
        <v>43.161292251047598</v>
      </c>
      <c r="V81" s="3">
        <f t="shared" si="2"/>
        <v>0.55214437892709967</v>
      </c>
      <c r="W81" s="3">
        <f t="shared" si="2"/>
        <v>0</v>
      </c>
      <c r="Y81" s="2" cm="1">
        <f t="array" ref="Y81">+SUM(D81:W81*1000000)/1000000000</f>
        <v>4.3750285955831525E-2</v>
      </c>
    </row>
    <row r="82" spans="3:25" x14ac:dyDescent="0.2">
      <c r="C82">
        <v>6004</v>
      </c>
      <c r="D82" s="3">
        <f t="shared" si="2"/>
        <v>0</v>
      </c>
      <c r="E82" s="3">
        <f t="shared" si="2"/>
        <v>0</v>
      </c>
      <c r="F82" s="3">
        <f t="shared" si="2"/>
        <v>0</v>
      </c>
      <c r="G82" s="3">
        <f t="shared" si="2"/>
        <v>0</v>
      </c>
      <c r="H82" s="3">
        <f t="shared" si="2"/>
        <v>0</v>
      </c>
      <c r="I82" s="3">
        <f t="shared" si="2"/>
        <v>0</v>
      </c>
      <c r="J82" s="3">
        <f t="shared" si="2"/>
        <v>11.978350703501921</v>
      </c>
      <c r="K82" s="3">
        <f t="shared" si="2"/>
        <v>0</v>
      </c>
      <c r="L82" s="3">
        <f t="shared" si="2"/>
        <v>0</v>
      </c>
      <c r="M82" s="3">
        <f t="shared" si="2"/>
        <v>0</v>
      </c>
      <c r="N82" s="3">
        <f t="shared" si="2"/>
        <v>0</v>
      </c>
      <c r="O82" s="3">
        <f t="shared" si="2"/>
        <v>0</v>
      </c>
      <c r="P82" s="3">
        <f t="shared" si="2"/>
        <v>350.15061669686497</v>
      </c>
      <c r="Q82" s="3">
        <f t="shared" si="2"/>
        <v>0</v>
      </c>
      <c r="R82" s="3">
        <f t="shared" si="2"/>
        <v>0</v>
      </c>
      <c r="S82" s="3">
        <f t="shared" si="2"/>
        <v>0</v>
      </c>
      <c r="T82" s="3">
        <f t="shared" si="2"/>
        <v>0</v>
      </c>
      <c r="U82" s="3">
        <f t="shared" si="2"/>
        <v>3185.2571256678043</v>
      </c>
      <c r="V82" s="3">
        <f t="shared" si="2"/>
        <v>0</v>
      </c>
      <c r="W82" s="3">
        <f t="shared" si="2"/>
        <v>588.17350136135701</v>
      </c>
      <c r="Y82" s="2" cm="1">
        <f t="array" ref="Y82">+SUM(D82:W82*1000000)/1000000000</f>
        <v>4.1355595944295285</v>
      </c>
    </row>
    <row r="83" spans="3:25" x14ac:dyDescent="0.2">
      <c r="C83">
        <v>6004</v>
      </c>
      <c r="D83" s="3">
        <f t="shared" si="2"/>
        <v>0</v>
      </c>
      <c r="E83" s="3">
        <f t="shared" si="2"/>
        <v>0</v>
      </c>
      <c r="F83" s="3">
        <f t="shared" si="2"/>
        <v>0</v>
      </c>
      <c r="G83" s="3">
        <f t="shared" si="2"/>
        <v>0</v>
      </c>
      <c r="H83" s="3">
        <f t="shared" si="2"/>
        <v>0</v>
      </c>
      <c r="I83" s="3">
        <f t="shared" si="2"/>
        <v>0</v>
      </c>
      <c r="J83" s="3">
        <f t="shared" si="2"/>
        <v>13.725090986390461</v>
      </c>
      <c r="K83" s="3">
        <f t="shared" si="2"/>
        <v>0</v>
      </c>
      <c r="L83" s="3">
        <f t="shared" si="2"/>
        <v>0</v>
      </c>
      <c r="M83" s="3">
        <f t="shared" si="2"/>
        <v>0</v>
      </c>
      <c r="N83" s="3">
        <f t="shared" si="2"/>
        <v>0</v>
      </c>
      <c r="O83" s="3">
        <f t="shared" si="2"/>
        <v>0</v>
      </c>
      <c r="P83" s="3">
        <f t="shared" si="2"/>
        <v>1138.7591126791399</v>
      </c>
      <c r="Q83" s="3">
        <f t="shared" si="2"/>
        <v>0</v>
      </c>
      <c r="R83" s="3">
        <f t="shared" si="2"/>
        <v>0</v>
      </c>
      <c r="S83" s="3">
        <f t="shared" si="2"/>
        <v>0</v>
      </c>
      <c r="T83" s="3">
        <f t="shared" si="2"/>
        <v>0</v>
      </c>
      <c r="U83" s="3">
        <f t="shared" si="2"/>
        <v>0</v>
      </c>
      <c r="V83" s="3">
        <f t="shared" si="2"/>
        <v>0</v>
      </c>
      <c r="W83" s="3">
        <f t="shared" si="2"/>
        <v>1039.94317890909</v>
      </c>
      <c r="Y83" s="2" cm="1">
        <f t="array" ref="Y83">+SUM(D83:W83*1000000)/1000000000</f>
        <v>2.1924273825746203</v>
      </c>
    </row>
    <row r="84" spans="3:25" x14ac:dyDescent="0.2">
      <c r="C84">
        <v>6004</v>
      </c>
      <c r="D84" s="3">
        <f t="shared" si="2"/>
        <v>0</v>
      </c>
      <c r="E84" s="3">
        <f t="shared" si="2"/>
        <v>0</v>
      </c>
      <c r="F84" s="3">
        <f t="shared" si="2"/>
        <v>0</v>
      </c>
      <c r="G84" s="3">
        <f t="shared" si="2"/>
        <v>0</v>
      </c>
      <c r="H84" s="3">
        <f t="shared" si="2"/>
        <v>0</v>
      </c>
      <c r="I84" s="3">
        <f t="shared" si="2"/>
        <v>0</v>
      </c>
      <c r="J84" s="3">
        <f t="shared" si="2"/>
        <v>17.946671755186031</v>
      </c>
      <c r="K84" s="3">
        <f t="shared" si="2"/>
        <v>0</v>
      </c>
      <c r="L84" s="3">
        <f t="shared" si="2"/>
        <v>0</v>
      </c>
      <c r="M84" s="3">
        <f t="shared" si="2"/>
        <v>0</v>
      </c>
      <c r="N84" s="3">
        <f t="shared" si="2"/>
        <v>-749.90590470828704</v>
      </c>
      <c r="O84" s="3">
        <f t="shared" si="2"/>
        <v>0</v>
      </c>
      <c r="P84" s="3">
        <f t="shared" si="2"/>
        <v>721.41062108284018</v>
      </c>
      <c r="Q84" s="3">
        <f t="shared" si="2"/>
        <v>0</v>
      </c>
      <c r="R84" s="3">
        <f t="shared" si="2"/>
        <v>0</v>
      </c>
      <c r="S84" s="3">
        <f t="shared" si="2"/>
        <v>0</v>
      </c>
      <c r="T84" s="3">
        <f t="shared" si="2"/>
        <v>0</v>
      </c>
      <c r="U84" s="3">
        <f t="shared" si="2"/>
        <v>4180.1785977888012</v>
      </c>
      <c r="V84" s="3">
        <f t="shared" si="2"/>
        <v>0</v>
      </c>
      <c r="W84" s="3">
        <f t="shared" si="2"/>
        <v>-519.44951804797097</v>
      </c>
      <c r="Y84" s="2" cm="1">
        <f t="array" ref="Y84">+SUM(D84:W84*1000000)/1000000000</f>
        <v>3.6501804678705696</v>
      </c>
    </row>
    <row r="85" spans="3:25" x14ac:dyDescent="0.2">
      <c r="C85">
        <v>6004</v>
      </c>
      <c r="D85" s="3">
        <f t="shared" si="2"/>
        <v>0</v>
      </c>
      <c r="E85" s="3">
        <f t="shared" si="2"/>
        <v>0</v>
      </c>
      <c r="F85" s="3">
        <f t="shared" si="2"/>
        <v>0</v>
      </c>
      <c r="G85" s="3">
        <f t="shared" si="2"/>
        <v>0</v>
      </c>
      <c r="H85" s="3">
        <f t="shared" si="2"/>
        <v>0</v>
      </c>
      <c r="I85" s="3">
        <f t="shared" si="2"/>
        <v>0</v>
      </c>
      <c r="J85" s="3">
        <f t="shared" si="2"/>
        <v>25.837601698930801</v>
      </c>
      <c r="K85" s="3">
        <f t="shared" si="2"/>
        <v>0</v>
      </c>
      <c r="L85" s="3">
        <f t="shared" si="2"/>
        <v>0</v>
      </c>
      <c r="M85" s="3">
        <f t="shared" si="2"/>
        <v>0</v>
      </c>
      <c r="N85" s="3">
        <f t="shared" si="2"/>
        <v>-545.57576004481496</v>
      </c>
      <c r="O85" s="3">
        <f t="shared" si="2"/>
        <v>0</v>
      </c>
      <c r="P85" s="3">
        <f t="shared" si="2"/>
        <v>714.00311262429182</v>
      </c>
      <c r="Q85" s="3">
        <f t="shared" si="2"/>
        <v>0</v>
      </c>
      <c r="R85" s="3">
        <f t="shared" si="2"/>
        <v>0</v>
      </c>
      <c r="S85" s="3">
        <f t="shared" si="2"/>
        <v>0</v>
      </c>
      <c r="T85" s="3">
        <f t="shared" si="2"/>
        <v>0</v>
      </c>
      <c r="U85" s="3">
        <f t="shared" si="2"/>
        <v>2412.5530752889199</v>
      </c>
      <c r="V85" s="3">
        <f t="shared" si="2"/>
        <v>0</v>
      </c>
      <c r="W85" s="3">
        <f t="shared" si="2"/>
        <v>311.47240811810917</v>
      </c>
      <c r="Y85" s="2" cm="1">
        <f t="array" ref="Y85">+SUM(D85:W85*1000000)/1000000000</f>
        <v>2.9182904376854366</v>
      </c>
    </row>
    <row r="86" spans="3:25" x14ac:dyDescent="0.2">
      <c r="C86">
        <v>6004</v>
      </c>
      <c r="D86" s="3">
        <f t="shared" si="2"/>
        <v>0</v>
      </c>
      <c r="E86" s="3">
        <f t="shared" si="2"/>
        <v>0</v>
      </c>
      <c r="F86" s="3">
        <f t="shared" si="2"/>
        <v>0</v>
      </c>
      <c r="G86" s="3">
        <f t="shared" si="2"/>
        <v>0</v>
      </c>
      <c r="H86" s="3">
        <f t="shared" si="2"/>
        <v>0</v>
      </c>
      <c r="I86" s="3">
        <f t="shared" si="2"/>
        <v>0</v>
      </c>
      <c r="J86" s="3">
        <f t="shared" si="2"/>
        <v>29.423427376184819</v>
      </c>
      <c r="K86" s="3">
        <f t="shared" si="2"/>
        <v>0</v>
      </c>
      <c r="L86" s="3">
        <f t="shared" si="2"/>
        <v>0</v>
      </c>
      <c r="M86" s="3">
        <f t="shared" si="2"/>
        <v>0</v>
      </c>
      <c r="N86" s="3">
        <f t="shared" si="2"/>
        <v>-57.258752944192203</v>
      </c>
      <c r="O86" s="3">
        <f t="shared" si="2"/>
        <v>0</v>
      </c>
      <c r="P86" s="3">
        <f t="shared" si="2"/>
        <v>710.10663547565048</v>
      </c>
      <c r="Q86" s="3">
        <f t="shared" si="2"/>
        <v>0</v>
      </c>
      <c r="R86" s="3">
        <f t="shared" si="2"/>
        <v>0</v>
      </c>
      <c r="S86" s="3">
        <f t="shared" si="2"/>
        <v>0</v>
      </c>
      <c r="T86" s="3">
        <f t="shared" si="2"/>
        <v>0</v>
      </c>
      <c r="U86" s="3">
        <f t="shared" si="2"/>
        <v>0</v>
      </c>
      <c r="V86" s="3">
        <f t="shared" si="2"/>
        <v>0</v>
      </c>
      <c r="W86" s="3">
        <f t="shared" si="2"/>
        <v>1461.4740462330556</v>
      </c>
      <c r="Y86" s="2" cm="1">
        <f t="array" ref="Y86">+SUM(D86:W86*1000000)/1000000000</f>
        <v>2.1437453561406987</v>
      </c>
    </row>
    <row r="87" spans="3:25" x14ac:dyDescent="0.2">
      <c r="C87">
        <v>6004</v>
      </c>
      <c r="D87" s="3">
        <f t="shared" si="2"/>
        <v>0</v>
      </c>
      <c r="E87" s="3">
        <f t="shared" si="2"/>
        <v>0</v>
      </c>
      <c r="F87" s="3">
        <f t="shared" si="2"/>
        <v>0</v>
      </c>
      <c r="G87" s="3">
        <f t="shared" si="2"/>
        <v>0</v>
      </c>
      <c r="H87" s="3">
        <f t="shared" si="2"/>
        <v>0</v>
      </c>
      <c r="I87" s="3">
        <f t="shared" si="2"/>
        <v>0</v>
      </c>
      <c r="J87" s="3">
        <f t="shared" si="2"/>
        <v>33.17341993827057</v>
      </c>
      <c r="K87" s="3">
        <f t="shared" si="2"/>
        <v>0</v>
      </c>
      <c r="L87" s="3">
        <f t="shared" si="2"/>
        <v>0</v>
      </c>
      <c r="M87" s="3">
        <f t="shared" si="2"/>
        <v>0</v>
      </c>
      <c r="N87" s="3">
        <f t="shared" si="2"/>
        <v>-66.867313560428499</v>
      </c>
      <c r="O87" s="3">
        <f t="shared" si="2"/>
        <v>0</v>
      </c>
      <c r="P87" s="3">
        <f t="shared" si="2"/>
        <v>704.92065491314588</v>
      </c>
      <c r="Q87" s="3">
        <f t="shared" si="2"/>
        <v>0</v>
      </c>
      <c r="R87" s="3">
        <f t="shared" si="2"/>
        <v>0</v>
      </c>
      <c r="S87" s="3">
        <f t="shared" si="2"/>
        <v>0</v>
      </c>
      <c r="T87" s="3">
        <f t="shared" si="2"/>
        <v>0</v>
      </c>
      <c r="U87" s="3">
        <f t="shared" si="2"/>
        <v>0</v>
      </c>
      <c r="V87" s="3">
        <f t="shared" si="2"/>
        <v>0</v>
      </c>
      <c r="W87" s="3">
        <f t="shared" si="2"/>
        <v>1450.1149665609514</v>
      </c>
      <c r="Y87" s="2" cm="1">
        <f t="array" ref="Y87">+SUM(D87:W87*1000000)/1000000000</f>
        <v>2.1213417278519393</v>
      </c>
    </row>
    <row r="88" spans="3:25" x14ac:dyDescent="0.2">
      <c r="C88">
        <v>6004</v>
      </c>
      <c r="D88" s="3">
        <f t="shared" si="2"/>
        <v>0</v>
      </c>
      <c r="E88" s="3">
        <f t="shared" si="2"/>
        <v>0</v>
      </c>
      <c r="F88" s="3">
        <f t="shared" si="2"/>
        <v>0</v>
      </c>
      <c r="G88" s="3">
        <f t="shared" si="2"/>
        <v>0</v>
      </c>
      <c r="H88" s="3">
        <f t="shared" si="2"/>
        <v>0</v>
      </c>
      <c r="I88" s="3">
        <f t="shared" si="2"/>
        <v>0</v>
      </c>
      <c r="J88" s="3">
        <f t="shared" si="2"/>
        <v>37.130946408945078</v>
      </c>
      <c r="K88" s="3">
        <f t="shared" si="2"/>
        <v>0</v>
      </c>
      <c r="L88" s="3">
        <f t="shared" si="2"/>
        <v>0</v>
      </c>
      <c r="M88" s="3">
        <f t="shared" si="2"/>
        <v>0</v>
      </c>
      <c r="N88" s="3">
        <f t="shared" si="2"/>
        <v>-433.58093959301698</v>
      </c>
      <c r="O88" s="3">
        <f t="shared" si="2"/>
        <v>0</v>
      </c>
      <c r="P88" s="3">
        <f t="shared" si="2"/>
        <v>702.14888533830776</v>
      </c>
      <c r="Q88" s="3">
        <f t="shared" si="2"/>
        <v>0</v>
      </c>
      <c r="R88" s="3">
        <f t="shared" si="2"/>
        <v>0</v>
      </c>
      <c r="S88" s="3">
        <f t="shared" si="2"/>
        <v>0</v>
      </c>
      <c r="T88" s="3">
        <f t="shared" si="2"/>
        <v>0</v>
      </c>
      <c r="U88" s="3">
        <f t="shared" si="2"/>
        <v>1144.13858879277</v>
      </c>
      <c r="V88" s="3">
        <f t="shared" si="2"/>
        <v>0</v>
      </c>
      <c r="W88" s="3">
        <f t="shared" si="2"/>
        <v>895.18115798131021</v>
      </c>
      <c r="Y88" s="2" cm="1">
        <f t="array" ref="Y88">+SUM(D88:W88*1000000)/1000000000</f>
        <v>2.3450186389283161</v>
      </c>
    </row>
    <row r="89" spans="3:25" x14ac:dyDescent="0.2">
      <c r="C89">
        <v>6004</v>
      </c>
      <c r="D89" s="3">
        <f t="shared" si="2"/>
        <v>0</v>
      </c>
      <c r="E89" s="3">
        <f t="shared" si="2"/>
        <v>0</v>
      </c>
      <c r="F89" s="3">
        <f t="shared" si="2"/>
        <v>0</v>
      </c>
      <c r="G89" s="3">
        <f t="shared" si="2"/>
        <v>0</v>
      </c>
      <c r="H89" s="3">
        <f t="shared" si="2"/>
        <v>0</v>
      </c>
      <c r="I89" s="3">
        <f t="shared" si="2"/>
        <v>0</v>
      </c>
      <c r="J89" s="3">
        <f t="shared" si="2"/>
        <v>41.239894194473152</v>
      </c>
      <c r="K89" s="3">
        <f t="shared" si="2"/>
        <v>0</v>
      </c>
      <c r="L89" s="3">
        <f t="shared" si="2"/>
        <v>0</v>
      </c>
      <c r="M89" s="3">
        <f t="shared" si="2"/>
        <v>0</v>
      </c>
      <c r="N89" s="3">
        <f t="shared" si="2"/>
        <v>-897.72477441707804</v>
      </c>
      <c r="O89" s="3">
        <f t="shared" si="2"/>
        <v>0</v>
      </c>
      <c r="P89" s="3">
        <f t="shared" si="2"/>
        <v>699.8095262255348</v>
      </c>
      <c r="Q89" s="3">
        <f t="shared" si="2"/>
        <v>0</v>
      </c>
      <c r="R89" s="3">
        <f t="shared" si="2"/>
        <v>0</v>
      </c>
      <c r="S89" s="3">
        <f t="shared" si="2"/>
        <v>0</v>
      </c>
      <c r="T89" s="3">
        <f t="shared" si="2"/>
        <v>0</v>
      </c>
      <c r="U89" s="3">
        <f t="shared" si="2"/>
        <v>1615.26814069184</v>
      </c>
      <c r="V89" s="3">
        <f t="shared" si="2"/>
        <v>0</v>
      </c>
      <c r="W89" s="3">
        <f t="shared" si="2"/>
        <v>662.70265883362197</v>
      </c>
      <c r="Y89" s="2" cm="1">
        <f t="array" ref="Y89">+SUM(D89:W89*1000000)/1000000000</f>
        <v>2.1212954455283919</v>
      </c>
    </row>
    <row r="90" spans="3:25" x14ac:dyDescent="0.2">
      <c r="C90">
        <v>6004</v>
      </c>
      <c r="D90" s="3">
        <f t="shared" si="2"/>
        <v>0</v>
      </c>
      <c r="E90" s="3">
        <f t="shared" si="2"/>
        <v>0</v>
      </c>
      <c r="F90" s="3">
        <f t="shared" si="2"/>
        <v>0</v>
      </c>
      <c r="G90" s="3">
        <f t="shared" si="2"/>
        <v>0</v>
      </c>
      <c r="H90" s="3">
        <f t="shared" si="2"/>
        <v>0</v>
      </c>
      <c r="I90" s="3">
        <f t="shared" si="2"/>
        <v>0</v>
      </c>
      <c r="J90" s="3">
        <f t="shared" si="2"/>
        <v>45.480650600609607</v>
      </c>
      <c r="K90" s="3">
        <f t="shared" si="2"/>
        <v>0</v>
      </c>
      <c r="L90" s="3">
        <f t="shared" si="2"/>
        <v>0</v>
      </c>
      <c r="M90" s="3">
        <f t="shared" si="2"/>
        <v>0</v>
      </c>
      <c r="N90" s="3">
        <f t="shared" si="2"/>
        <v>-111.847639305282</v>
      </c>
      <c r="O90" s="3">
        <f t="shared" si="2"/>
        <v>0</v>
      </c>
      <c r="P90" s="3">
        <f t="shared" si="2"/>
        <v>698.01656191705956</v>
      </c>
      <c r="Q90" s="3">
        <f t="shared" si="2"/>
        <v>0</v>
      </c>
      <c r="R90" s="3">
        <f t="shared" si="2"/>
        <v>0</v>
      </c>
      <c r="S90" s="3">
        <f t="shared" si="2"/>
        <v>0</v>
      </c>
      <c r="T90" s="3">
        <f t="shared" si="2"/>
        <v>0</v>
      </c>
      <c r="U90" s="3">
        <f t="shared" si="2"/>
        <v>1417.629603521822</v>
      </c>
      <c r="V90" s="3">
        <f t="shared" si="2"/>
        <v>0</v>
      </c>
      <c r="W90" s="3">
        <f t="shared" si="2"/>
        <v>802.93067640522361</v>
      </c>
      <c r="Y90" s="2" cm="1">
        <f t="array" ref="Y90">+SUM(D90:W90*1000000)/1000000000</f>
        <v>2.8522098531394331</v>
      </c>
    </row>
    <row r="91" spans="3:25" x14ac:dyDescent="0.2">
      <c r="C91">
        <v>6004</v>
      </c>
      <c r="D91" s="3">
        <f t="shared" si="2"/>
        <v>0</v>
      </c>
      <c r="E91" s="3">
        <f t="shared" si="2"/>
        <v>0</v>
      </c>
      <c r="F91" s="3">
        <f t="shared" si="2"/>
        <v>0</v>
      </c>
      <c r="G91" s="3">
        <f t="shared" si="2"/>
        <v>0</v>
      </c>
      <c r="H91" s="3">
        <f t="shared" si="2"/>
        <v>0</v>
      </c>
      <c r="I91" s="3">
        <f t="shared" si="2"/>
        <v>0</v>
      </c>
      <c r="J91" s="3">
        <f t="shared" si="2"/>
        <v>49.840866552945201</v>
      </c>
      <c r="K91" s="3">
        <f t="shared" si="2"/>
        <v>0</v>
      </c>
      <c r="L91" s="3">
        <f t="shared" si="2"/>
        <v>0</v>
      </c>
      <c r="M91" s="3">
        <f t="shared" si="2"/>
        <v>0</v>
      </c>
      <c r="N91" s="3">
        <f t="shared" si="2"/>
        <v>-566.32337057520397</v>
      </c>
      <c r="O91" s="3">
        <f t="shared" si="2"/>
        <v>0</v>
      </c>
      <c r="P91" s="3">
        <f t="shared" si="2"/>
        <v>697.22485097701394</v>
      </c>
      <c r="Q91" s="3">
        <f t="shared" si="2"/>
        <v>0</v>
      </c>
      <c r="R91" s="3">
        <f t="shared" si="2"/>
        <v>0</v>
      </c>
      <c r="S91" s="3">
        <f t="shared" si="2"/>
        <v>0</v>
      </c>
      <c r="T91" s="3">
        <f t="shared" si="2"/>
        <v>0</v>
      </c>
      <c r="U91" s="3">
        <f t="shared" si="2"/>
        <v>842.12172552593904</v>
      </c>
      <c r="V91" s="3">
        <f t="shared" si="2"/>
        <v>0</v>
      </c>
      <c r="W91" s="3">
        <f t="shared" si="2"/>
        <v>1187.3233169652403</v>
      </c>
      <c r="Y91" s="2" cm="1">
        <f t="array" ref="Y91">+SUM(D91:W91*1000000)/1000000000</f>
        <v>2.2101873894459345</v>
      </c>
    </row>
    <row r="92" spans="3:25" x14ac:dyDescent="0.2">
      <c r="C92">
        <v>6004</v>
      </c>
      <c r="D92" s="3">
        <f t="shared" si="2"/>
        <v>0</v>
      </c>
      <c r="E92" s="3">
        <f t="shared" si="2"/>
        <v>0</v>
      </c>
      <c r="F92" s="3">
        <f t="shared" si="2"/>
        <v>0</v>
      </c>
      <c r="G92" s="3">
        <f t="shared" si="2"/>
        <v>0</v>
      </c>
      <c r="H92" s="3">
        <f t="shared" si="2"/>
        <v>0</v>
      </c>
      <c r="I92" s="3">
        <f t="shared" si="2"/>
        <v>0</v>
      </c>
      <c r="J92" s="3">
        <f t="shared" si="2"/>
        <v>54.187638687111111</v>
      </c>
      <c r="K92" s="3">
        <f t="shared" si="2"/>
        <v>0</v>
      </c>
      <c r="L92" s="3">
        <f t="shared" si="2"/>
        <v>0</v>
      </c>
      <c r="M92" s="3">
        <f t="shared" si="2"/>
        <v>0</v>
      </c>
      <c r="N92" s="3">
        <f t="shared" si="2"/>
        <v>-141.782345153726</v>
      </c>
      <c r="O92" s="3">
        <f t="shared" si="2"/>
        <v>0</v>
      </c>
      <c r="P92" s="3">
        <f t="shared" si="2"/>
        <v>696.12528004144622</v>
      </c>
      <c r="Q92" s="3">
        <f t="shared" si="2"/>
        <v>0</v>
      </c>
      <c r="R92" s="3">
        <f t="shared" si="2"/>
        <v>0</v>
      </c>
      <c r="S92" s="3">
        <f t="shared" ref="S92:Y92" si="3">+S53-S15</f>
        <v>0</v>
      </c>
      <c r="T92" s="3">
        <f t="shared" si="3"/>
        <v>0</v>
      </c>
      <c r="U92" s="3">
        <f t="shared" si="3"/>
        <v>1547.84136850909</v>
      </c>
      <c r="V92" s="3">
        <f t="shared" si="3"/>
        <v>0</v>
      </c>
      <c r="W92" s="3">
        <f t="shared" si="3"/>
        <v>867.53179943724945</v>
      </c>
      <c r="Y92" s="2" cm="1">
        <f t="array" ref="Y92">+SUM(D92:W92*1000000)/1000000000</f>
        <v>3.0239037415211705</v>
      </c>
    </row>
    <row r="93" spans="3:25" x14ac:dyDescent="0.2">
      <c r="C93">
        <v>6004</v>
      </c>
      <c r="D93" s="3">
        <f t="shared" ref="D93:W105" si="4">+D54-D16</f>
        <v>0</v>
      </c>
      <c r="E93" s="3">
        <f t="shared" si="4"/>
        <v>0</v>
      </c>
      <c r="F93" s="3">
        <f t="shared" si="4"/>
        <v>0</v>
      </c>
      <c r="G93" s="3">
        <f t="shared" si="4"/>
        <v>0</v>
      </c>
      <c r="H93" s="3">
        <f t="shared" si="4"/>
        <v>0</v>
      </c>
      <c r="I93" s="3">
        <f t="shared" si="4"/>
        <v>0</v>
      </c>
      <c r="J93" s="3">
        <f t="shared" si="4"/>
        <v>58.730503075030306</v>
      </c>
      <c r="K93" s="3">
        <f t="shared" si="4"/>
        <v>0</v>
      </c>
      <c r="L93" s="3">
        <f t="shared" si="4"/>
        <v>0</v>
      </c>
      <c r="M93" s="3">
        <f t="shared" si="4"/>
        <v>0</v>
      </c>
      <c r="N93" s="3">
        <f t="shared" si="4"/>
        <v>-160.420976886983</v>
      </c>
      <c r="O93" s="3">
        <f t="shared" si="4"/>
        <v>0</v>
      </c>
      <c r="P93" s="3">
        <f t="shared" si="4"/>
        <v>696.85492011456984</v>
      </c>
      <c r="Q93" s="3">
        <f t="shared" si="4"/>
        <v>0</v>
      </c>
      <c r="R93" s="3">
        <f t="shared" si="4"/>
        <v>0</v>
      </c>
      <c r="S93" s="3">
        <f t="shared" si="4"/>
        <v>0</v>
      </c>
      <c r="T93" s="3">
        <f t="shared" si="4"/>
        <v>0</v>
      </c>
      <c r="U93" s="3">
        <f t="shared" si="4"/>
        <v>1554.32298669735</v>
      </c>
      <c r="V93" s="3">
        <f t="shared" si="4"/>
        <v>0</v>
      </c>
      <c r="W93" s="3">
        <f t="shared" si="4"/>
        <v>924.22318084532435</v>
      </c>
      <c r="Y93" s="2" cm="1">
        <f t="array" ref="Y93">+SUM(D93:W93*1000000)/1000000000</f>
        <v>3.0737106138452917</v>
      </c>
    </row>
    <row r="94" spans="3:25" x14ac:dyDescent="0.2">
      <c r="C94">
        <v>6004</v>
      </c>
      <c r="D94" s="3">
        <f t="shared" si="4"/>
        <v>0</v>
      </c>
      <c r="E94" s="3">
        <f t="shared" si="4"/>
        <v>0</v>
      </c>
      <c r="F94" s="3">
        <f t="shared" si="4"/>
        <v>0</v>
      </c>
      <c r="G94" s="3">
        <f t="shared" si="4"/>
        <v>0</v>
      </c>
      <c r="H94" s="3">
        <f t="shared" si="4"/>
        <v>0</v>
      </c>
      <c r="I94" s="3">
        <f t="shared" si="4"/>
        <v>0</v>
      </c>
      <c r="J94" s="3">
        <f t="shared" si="4"/>
        <v>54.961715901155387</v>
      </c>
      <c r="K94" s="3">
        <f t="shared" si="4"/>
        <v>0</v>
      </c>
      <c r="L94" s="3">
        <f t="shared" si="4"/>
        <v>0</v>
      </c>
      <c r="M94" s="3">
        <f t="shared" si="4"/>
        <v>0</v>
      </c>
      <c r="N94" s="3">
        <f t="shared" si="4"/>
        <v>-179.897766129866</v>
      </c>
      <c r="O94" s="3">
        <f t="shared" si="4"/>
        <v>0</v>
      </c>
      <c r="P94" s="3">
        <f t="shared" si="4"/>
        <v>698.78347257994676</v>
      </c>
      <c r="Q94" s="3">
        <f t="shared" si="4"/>
        <v>0</v>
      </c>
      <c r="R94" s="3">
        <f t="shared" si="4"/>
        <v>0</v>
      </c>
      <c r="S94" s="3">
        <f t="shared" si="4"/>
        <v>0</v>
      </c>
      <c r="T94" s="3">
        <f t="shared" si="4"/>
        <v>0</v>
      </c>
      <c r="U94" s="3">
        <f t="shared" si="4"/>
        <v>1568.88089414149</v>
      </c>
      <c r="V94" s="3">
        <f t="shared" si="4"/>
        <v>0</v>
      </c>
      <c r="W94" s="3">
        <f t="shared" si="4"/>
        <v>1226.8780679060269</v>
      </c>
      <c r="Y94" s="2" cm="1">
        <f t="array" ref="Y94">+SUM(D94:W94*1000000)/1000000000</f>
        <v>3.3696063843987534</v>
      </c>
    </row>
    <row r="95" spans="3:25" x14ac:dyDescent="0.2">
      <c r="C95">
        <v>6004</v>
      </c>
      <c r="D95" s="3">
        <f t="shared" si="4"/>
        <v>0</v>
      </c>
      <c r="E95" s="3">
        <f t="shared" si="4"/>
        <v>0</v>
      </c>
      <c r="F95" s="3">
        <f t="shared" si="4"/>
        <v>0</v>
      </c>
      <c r="G95" s="3">
        <f t="shared" si="4"/>
        <v>0</v>
      </c>
      <c r="H95" s="3">
        <f t="shared" si="4"/>
        <v>0</v>
      </c>
      <c r="I95" s="3">
        <f t="shared" si="4"/>
        <v>0</v>
      </c>
      <c r="J95" s="3">
        <f t="shared" si="4"/>
        <v>58.145276757264718</v>
      </c>
      <c r="K95" s="3">
        <f t="shared" si="4"/>
        <v>0</v>
      </c>
      <c r="L95" s="3">
        <f t="shared" si="4"/>
        <v>0</v>
      </c>
      <c r="M95" s="3">
        <f t="shared" si="4"/>
        <v>0</v>
      </c>
      <c r="N95" s="3">
        <f t="shared" si="4"/>
        <v>-469.12789850269797</v>
      </c>
      <c r="O95" s="3">
        <f t="shared" si="4"/>
        <v>0</v>
      </c>
      <c r="P95" s="3">
        <f t="shared" si="4"/>
        <v>1439.254562435641</v>
      </c>
      <c r="Q95" s="3">
        <f t="shared" si="4"/>
        <v>0</v>
      </c>
      <c r="R95" s="3">
        <f t="shared" si="4"/>
        <v>0</v>
      </c>
      <c r="S95" s="3">
        <f t="shared" si="4"/>
        <v>0</v>
      </c>
      <c r="T95" s="3">
        <f t="shared" si="4"/>
        <v>0</v>
      </c>
      <c r="U95" s="3">
        <f t="shared" si="4"/>
        <v>2318.8505393613</v>
      </c>
      <c r="V95" s="3">
        <f t="shared" si="4"/>
        <v>0</v>
      </c>
      <c r="W95" s="3">
        <f t="shared" si="4"/>
        <v>804.69048117335808</v>
      </c>
      <c r="Y95" s="2" cm="1">
        <f t="array" ref="Y95">+SUM(D95:W95*1000000)/1000000000</f>
        <v>4.1518129612248655</v>
      </c>
    </row>
    <row r="96" spans="3:25" x14ac:dyDescent="0.2">
      <c r="C96">
        <v>6004</v>
      </c>
      <c r="D96" s="3">
        <f t="shared" si="4"/>
        <v>0</v>
      </c>
      <c r="E96" s="3">
        <f t="shared" si="4"/>
        <v>0</v>
      </c>
      <c r="F96" s="3">
        <f t="shared" si="4"/>
        <v>0</v>
      </c>
      <c r="G96" s="3">
        <f t="shared" si="4"/>
        <v>0</v>
      </c>
      <c r="H96" s="3">
        <f t="shared" si="4"/>
        <v>0</v>
      </c>
      <c r="I96" s="3">
        <f t="shared" si="4"/>
        <v>0</v>
      </c>
      <c r="J96" s="3">
        <f t="shared" si="4"/>
        <v>184.87469485689743</v>
      </c>
      <c r="K96" s="3">
        <f t="shared" si="4"/>
        <v>0</v>
      </c>
      <c r="L96" s="3">
        <f t="shared" si="4"/>
        <v>-1869.85191944351</v>
      </c>
      <c r="M96" s="3">
        <f t="shared" si="4"/>
        <v>0</v>
      </c>
      <c r="N96" s="3">
        <f t="shared" si="4"/>
        <v>-3633.4344209998899</v>
      </c>
      <c r="O96" s="3">
        <f t="shared" si="4"/>
        <v>0</v>
      </c>
      <c r="P96" s="3">
        <f t="shared" si="4"/>
        <v>-20.7806786378152</v>
      </c>
      <c r="Q96" s="3">
        <f t="shared" si="4"/>
        <v>0</v>
      </c>
      <c r="R96" s="3">
        <f t="shared" si="4"/>
        <v>0</v>
      </c>
      <c r="S96" s="3">
        <f t="shared" si="4"/>
        <v>0</v>
      </c>
      <c r="T96" s="3">
        <f t="shared" si="4"/>
        <v>0</v>
      </c>
      <c r="U96" s="3">
        <f t="shared" si="4"/>
        <v>1214.41848494224</v>
      </c>
      <c r="V96" s="3">
        <f t="shared" si="4"/>
        <v>0</v>
      </c>
      <c r="W96" s="3">
        <f t="shared" si="4"/>
        <v>4137.2259915000004</v>
      </c>
      <c r="Y96" s="2" cm="1">
        <f t="array" ref="Y96">+SUM(D96:W96*1000000)/1000000000</f>
        <v>1.2452152217922688E-2</v>
      </c>
    </row>
    <row r="97" spans="3:25" x14ac:dyDescent="0.2">
      <c r="C97">
        <v>6004</v>
      </c>
      <c r="D97" s="3">
        <f t="shared" si="4"/>
        <v>0</v>
      </c>
      <c r="E97" s="3">
        <f t="shared" si="4"/>
        <v>0</v>
      </c>
      <c r="F97" s="3">
        <f t="shared" si="4"/>
        <v>0</v>
      </c>
      <c r="G97" s="3">
        <f t="shared" si="4"/>
        <v>0</v>
      </c>
      <c r="H97" s="3">
        <f t="shared" si="4"/>
        <v>0</v>
      </c>
      <c r="I97" s="3">
        <f t="shared" si="4"/>
        <v>0</v>
      </c>
      <c r="J97" s="3">
        <f t="shared" si="4"/>
        <v>-9.4027215229449901</v>
      </c>
      <c r="K97" s="3">
        <f t="shared" si="4"/>
        <v>0</v>
      </c>
      <c r="L97" s="3">
        <f t="shared" si="4"/>
        <v>-145.97459045904401</v>
      </c>
      <c r="M97" s="3">
        <f t="shared" si="4"/>
        <v>0</v>
      </c>
      <c r="N97" s="3">
        <f t="shared" si="4"/>
        <v>-477.64207562521904</v>
      </c>
      <c r="O97" s="3">
        <f t="shared" si="4"/>
        <v>0</v>
      </c>
      <c r="P97" s="3">
        <f t="shared" si="4"/>
        <v>1424.6514375990394</v>
      </c>
      <c r="Q97" s="3">
        <f t="shared" si="4"/>
        <v>0</v>
      </c>
      <c r="R97" s="3">
        <f t="shared" si="4"/>
        <v>0</v>
      </c>
      <c r="S97" s="3">
        <f t="shared" si="4"/>
        <v>0</v>
      </c>
      <c r="T97" s="3">
        <f t="shared" si="4"/>
        <v>-1764.63351554768</v>
      </c>
      <c r="U97" s="3">
        <f t="shared" si="4"/>
        <v>1275.7256702913601</v>
      </c>
      <c r="V97" s="3">
        <f t="shared" si="4"/>
        <v>0</v>
      </c>
      <c r="W97" s="3">
        <f t="shared" si="4"/>
        <v>916.17108824400941</v>
      </c>
      <c r="Y97" s="2" cm="1">
        <f t="array" ref="Y97">+SUM(D97:W97*1000000)/1000000000</f>
        <v>1.2188952929795207</v>
      </c>
    </row>
    <row r="98" spans="3:25" x14ac:dyDescent="0.2">
      <c r="C98">
        <v>6004</v>
      </c>
      <c r="D98" s="3">
        <f t="shared" si="4"/>
        <v>0</v>
      </c>
      <c r="E98" s="3">
        <f t="shared" si="4"/>
        <v>0</v>
      </c>
      <c r="F98" s="3">
        <f t="shared" si="4"/>
        <v>0</v>
      </c>
      <c r="G98" s="3">
        <f t="shared" si="4"/>
        <v>0</v>
      </c>
      <c r="H98" s="3">
        <f t="shared" si="4"/>
        <v>0</v>
      </c>
      <c r="I98" s="3">
        <f t="shared" si="4"/>
        <v>0</v>
      </c>
      <c r="J98" s="3">
        <f t="shared" si="4"/>
        <v>72.142040716815487</v>
      </c>
      <c r="K98" s="3">
        <f t="shared" si="4"/>
        <v>0</v>
      </c>
      <c r="L98" s="3">
        <f t="shared" si="4"/>
        <v>-151.737848982667</v>
      </c>
      <c r="M98" s="3">
        <f t="shared" si="4"/>
        <v>0</v>
      </c>
      <c r="N98" s="3">
        <f t="shared" si="4"/>
        <v>-431.272181556497</v>
      </c>
      <c r="O98" s="3">
        <f t="shared" si="4"/>
        <v>0</v>
      </c>
      <c r="P98" s="3">
        <f t="shared" si="4"/>
        <v>746.24299251263801</v>
      </c>
      <c r="Q98" s="3">
        <f t="shared" si="4"/>
        <v>0</v>
      </c>
      <c r="R98" s="3">
        <f t="shared" si="4"/>
        <v>0</v>
      </c>
      <c r="S98" s="3">
        <f t="shared" si="4"/>
        <v>0</v>
      </c>
      <c r="T98" s="3">
        <f t="shared" si="4"/>
        <v>-659.37163815635404</v>
      </c>
      <c r="U98" s="3">
        <f t="shared" si="4"/>
        <v>1790.772195839686</v>
      </c>
      <c r="V98" s="3">
        <f t="shared" si="4"/>
        <v>0</v>
      </c>
      <c r="W98" s="3">
        <f t="shared" si="4"/>
        <v>425.5717292256</v>
      </c>
      <c r="Y98" s="2" cm="1">
        <f t="array" ref="Y98">+SUM(D98:W98*1000000)/1000000000</f>
        <v>1.7923472895992214</v>
      </c>
    </row>
    <row r="99" spans="3:25" x14ac:dyDescent="0.2">
      <c r="C99">
        <v>6004</v>
      </c>
      <c r="D99" s="3">
        <f t="shared" si="4"/>
        <v>0</v>
      </c>
      <c r="E99" s="3">
        <f t="shared" si="4"/>
        <v>0</v>
      </c>
      <c r="F99" s="3">
        <f t="shared" si="4"/>
        <v>0</v>
      </c>
      <c r="G99" s="3">
        <f t="shared" si="4"/>
        <v>0</v>
      </c>
      <c r="H99" s="3">
        <f t="shared" si="4"/>
        <v>0</v>
      </c>
      <c r="I99" s="3">
        <f t="shared" si="4"/>
        <v>0</v>
      </c>
      <c r="J99" s="3">
        <f t="shared" si="4"/>
        <v>113.49556775738552</v>
      </c>
      <c r="K99" s="3">
        <f t="shared" si="4"/>
        <v>0</v>
      </c>
      <c r="L99" s="3">
        <f t="shared" si="4"/>
        <v>-155.823110549104</v>
      </c>
      <c r="M99" s="3">
        <f t="shared" si="4"/>
        <v>0</v>
      </c>
      <c r="N99" s="3">
        <f t="shared" si="4"/>
        <v>-110.71145751195</v>
      </c>
      <c r="O99" s="3">
        <f t="shared" si="4"/>
        <v>0</v>
      </c>
      <c r="P99" s="3">
        <f t="shared" si="4"/>
        <v>361.90549324808217</v>
      </c>
      <c r="Q99" s="3">
        <f t="shared" si="4"/>
        <v>0</v>
      </c>
      <c r="R99" s="3">
        <f t="shared" si="4"/>
        <v>0</v>
      </c>
      <c r="S99" s="3">
        <f t="shared" si="4"/>
        <v>0</v>
      </c>
      <c r="T99" s="3">
        <f t="shared" si="4"/>
        <v>-727.99582247400599</v>
      </c>
      <c r="U99" s="3">
        <f t="shared" si="4"/>
        <v>2110.4899752250462</v>
      </c>
      <c r="V99" s="3">
        <f t="shared" si="4"/>
        <v>-305.57805531343581</v>
      </c>
      <c r="W99" s="3">
        <f t="shared" si="4"/>
        <v>0</v>
      </c>
      <c r="Y99" s="2" cm="1">
        <f t="array" ref="Y99">+SUM(D99:W99*1000000)/1000000000</f>
        <v>1.2857825903820181</v>
      </c>
    </row>
    <row r="100" spans="3:25" x14ac:dyDescent="0.2">
      <c r="C100">
        <v>6004</v>
      </c>
      <c r="D100" s="3">
        <f t="shared" si="4"/>
        <v>0</v>
      </c>
      <c r="E100" s="3">
        <f t="shared" si="4"/>
        <v>0</v>
      </c>
      <c r="F100" s="3">
        <f t="shared" si="4"/>
        <v>0</v>
      </c>
      <c r="G100" s="3">
        <f t="shared" si="4"/>
        <v>0</v>
      </c>
      <c r="H100" s="3">
        <f t="shared" si="4"/>
        <v>0</v>
      </c>
      <c r="I100" s="3">
        <f t="shared" si="4"/>
        <v>0</v>
      </c>
      <c r="J100" s="3">
        <f t="shared" si="4"/>
        <v>202.24251919887882</v>
      </c>
      <c r="K100" s="3">
        <f t="shared" si="4"/>
        <v>0</v>
      </c>
      <c r="L100" s="3">
        <f t="shared" si="4"/>
        <v>-4885.5759741092306</v>
      </c>
      <c r="M100" s="3">
        <f t="shared" si="4"/>
        <v>0</v>
      </c>
      <c r="N100" s="3">
        <f t="shared" si="4"/>
        <v>-112.86642527952399</v>
      </c>
      <c r="O100" s="3">
        <f t="shared" si="4"/>
        <v>0</v>
      </c>
      <c r="P100" s="3">
        <f t="shared" si="4"/>
        <v>1791.3480749733922</v>
      </c>
      <c r="Q100" s="3">
        <f t="shared" si="4"/>
        <v>0</v>
      </c>
      <c r="R100" s="3">
        <f t="shared" si="4"/>
        <v>0</v>
      </c>
      <c r="S100" s="3">
        <f t="shared" si="4"/>
        <v>0</v>
      </c>
      <c r="T100" s="3">
        <f t="shared" si="4"/>
        <v>-1003.40133486761</v>
      </c>
      <c r="U100" s="3">
        <f t="shared" si="4"/>
        <v>1382.734019727123</v>
      </c>
      <c r="V100" s="3">
        <f t="shared" si="4"/>
        <v>-4.6319230926370096</v>
      </c>
      <c r="W100" s="3">
        <f t="shared" si="4"/>
        <v>376.44892394565301</v>
      </c>
      <c r="Y100" s="2" cm="1">
        <f t="array" ref="Y100">+SUM(D100:W100*1000000)/1000000000</f>
        <v>-2.2537021195039539</v>
      </c>
    </row>
    <row r="101" spans="3:25" x14ac:dyDescent="0.2">
      <c r="C101">
        <v>6004</v>
      </c>
      <c r="D101" s="3">
        <f t="shared" si="4"/>
        <v>0</v>
      </c>
      <c r="E101" s="3">
        <f t="shared" si="4"/>
        <v>0</v>
      </c>
      <c r="F101" s="3">
        <f t="shared" si="4"/>
        <v>0</v>
      </c>
      <c r="G101" s="3">
        <f t="shared" si="4"/>
        <v>0</v>
      </c>
      <c r="H101" s="3">
        <f t="shared" si="4"/>
        <v>0</v>
      </c>
      <c r="I101" s="3">
        <f t="shared" si="4"/>
        <v>0</v>
      </c>
      <c r="J101" s="3">
        <f t="shared" si="4"/>
        <v>95.417244458008994</v>
      </c>
      <c r="K101" s="3">
        <f t="shared" si="4"/>
        <v>0</v>
      </c>
      <c r="L101" s="3">
        <f t="shared" si="4"/>
        <v>-165.12660405565001</v>
      </c>
      <c r="M101" s="3">
        <f t="shared" si="4"/>
        <v>0</v>
      </c>
      <c r="N101" s="3">
        <f t="shared" si="4"/>
        <v>-1540.5677294414299</v>
      </c>
      <c r="O101" s="3">
        <f t="shared" si="4"/>
        <v>0</v>
      </c>
      <c r="P101" s="3">
        <f t="shared" si="4"/>
        <v>1724.285704421251</v>
      </c>
      <c r="Q101" s="3">
        <f t="shared" si="4"/>
        <v>0</v>
      </c>
      <c r="R101" s="3">
        <f t="shared" si="4"/>
        <v>685.60285366749031</v>
      </c>
      <c r="S101" s="3">
        <f t="shared" si="4"/>
        <v>0</v>
      </c>
      <c r="T101" s="3">
        <f t="shared" si="4"/>
        <v>-1892.7054291592799</v>
      </c>
      <c r="U101" s="3">
        <f t="shared" si="4"/>
        <v>1514.5713089917901</v>
      </c>
      <c r="V101" s="3">
        <f t="shared" si="4"/>
        <v>91.977423322138009</v>
      </c>
      <c r="W101" s="3">
        <f t="shared" si="4"/>
        <v>2313.8022174618923</v>
      </c>
      <c r="Y101" s="2" cm="1">
        <f t="array" ref="Y101">+SUM(D101:W101*1000000)/1000000000</f>
        <v>2.827256989666211</v>
      </c>
    </row>
    <row r="102" spans="3:25" x14ac:dyDescent="0.2">
      <c r="C102">
        <v>6004</v>
      </c>
      <c r="D102" s="3">
        <f t="shared" si="4"/>
        <v>0</v>
      </c>
      <c r="E102" s="3">
        <f t="shared" si="4"/>
        <v>0</v>
      </c>
      <c r="F102" s="3">
        <f t="shared" si="4"/>
        <v>0</v>
      </c>
      <c r="G102" s="3">
        <f t="shared" si="4"/>
        <v>0</v>
      </c>
      <c r="H102" s="3">
        <f t="shared" si="4"/>
        <v>0</v>
      </c>
      <c r="I102" s="3">
        <f t="shared" si="4"/>
        <v>0</v>
      </c>
      <c r="J102" s="3">
        <f t="shared" si="4"/>
        <v>69.256798180575899</v>
      </c>
      <c r="K102" s="3">
        <f t="shared" si="4"/>
        <v>0</v>
      </c>
      <c r="L102" s="3">
        <f t="shared" si="4"/>
        <v>-168.111521153468</v>
      </c>
      <c r="M102" s="3">
        <f t="shared" si="4"/>
        <v>0</v>
      </c>
      <c r="N102" s="3">
        <f t="shared" si="4"/>
        <v>-116.525767002655</v>
      </c>
      <c r="O102" s="3">
        <f t="shared" si="4"/>
        <v>0</v>
      </c>
      <c r="P102" s="3">
        <f t="shared" si="4"/>
        <v>1194.0822553083467</v>
      </c>
      <c r="Q102" s="3">
        <f t="shared" si="4"/>
        <v>0</v>
      </c>
      <c r="R102" s="3">
        <f t="shared" si="4"/>
        <v>187.56565200581801</v>
      </c>
      <c r="S102" s="3">
        <f t="shared" si="4"/>
        <v>0</v>
      </c>
      <c r="T102" s="3">
        <f t="shared" si="4"/>
        <v>-677.38927086803903</v>
      </c>
      <c r="U102" s="3">
        <f t="shared" si="4"/>
        <v>1711.488869934311</v>
      </c>
      <c r="V102" s="3">
        <f t="shared" si="4"/>
        <v>-85.805192087367004</v>
      </c>
      <c r="W102" s="3">
        <f t="shared" si="4"/>
        <v>-121.74029065576394</v>
      </c>
      <c r="Y102" s="2" cm="1">
        <f t="array" ref="Y102">+SUM(D102:W102*1000000)/1000000000</f>
        <v>1.9928215336617587</v>
      </c>
    </row>
    <row r="103" spans="3:25" x14ac:dyDescent="0.2">
      <c r="C103">
        <v>6004</v>
      </c>
      <c r="D103" s="3">
        <f t="shared" si="4"/>
        <v>0</v>
      </c>
      <c r="E103" s="3">
        <f t="shared" si="4"/>
        <v>0</v>
      </c>
      <c r="F103" s="3">
        <f t="shared" si="4"/>
        <v>0</v>
      </c>
      <c r="G103" s="3">
        <f t="shared" si="4"/>
        <v>0</v>
      </c>
      <c r="H103" s="3">
        <f t="shared" si="4"/>
        <v>0</v>
      </c>
      <c r="I103" s="3">
        <f t="shared" si="4"/>
        <v>0</v>
      </c>
      <c r="J103" s="3">
        <f t="shared" si="4"/>
        <v>156.67606681452992</v>
      </c>
      <c r="K103" s="3">
        <f t="shared" si="4"/>
        <v>0</v>
      </c>
      <c r="L103" s="3">
        <f t="shared" si="4"/>
        <v>-172.128173016978</v>
      </c>
      <c r="M103" s="3">
        <f t="shared" si="4"/>
        <v>0</v>
      </c>
      <c r="N103" s="3">
        <f t="shared" si="4"/>
        <v>-245.040980123205</v>
      </c>
      <c r="O103" s="3">
        <f t="shared" si="4"/>
        <v>0</v>
      </c>
      <c r="P103" s="3">
        <f t="shared" si="4"/>
        <v>794.18013154241021</v>
      </c>
      <c r="Q103" s="3">
        <f t="shared" si="4"/>
        <v>0</v>
      </c>
      <c r="R103" s="3">
        <f t="shared" si="4"/>
        <v>809.542041950927</v>
      </c>
      <c r="S103" s="3">
        <f t="shared" si="4"/>
        <v>0</v>
      </c>
      <c r="T103" s="3">
        <f t="shared" si="4"/>
        <v>-1283.62213779944</v>
      </c>
      <c r="U103" s="3">
        <f t="shared" si="4"/>
        <v>1837.9222444922998</v>
      </c>
      <c r="V103" s="3">
        <f t="shared" si="4"/>
        <v>-8.7438467145852705</v>
      </c>
      <c r="W103" s="3">
        <f t="shared" si="4"/>
        <v>1140.1503651898909</v>
      </c>
      <c r="Y103" s="2" cm="1">
        <f t="array" ref="Y103">+SUM(D103:W103*1000000)/1000000000</f>
        <v>3.0289357123358496</v>
      </c>
    </row>
    <row r="104" spans="3:25" x14ac:dyDescent="0.2">
      <c r="C104">
        <v>6004</v>
      </c>
      <c r="D104" s="3">
        <f t="shared" si="4"/>
        <v>0</v>
      </c>
      <c r="E104" s="3">
        <f t="shared" si="4"/>
        <v>0</v>
      </c>
      <c r="F104" s="3">
        <f t="shared" si="4"/>
        <v>0</v>
      </c>
      <c r="G104" s="3">
        <f t="shared" si="4"/>
        <v>0</v>
      </c>
      <c r="H104" s="3">
        <f t="shared" si="4"/>
        <v>0</v>
      </c>
      <c r="I104" s="3">
        <f t="shared" si="4"/>
        <v>0</v>
      </c>
      <c r="J104" s="3">
        <f t="shared" si="4"/>
        <v>123.105986082401</v>
      </c>
      <c r="K104" s="3">
        <f t="shared" si="4"/>
        <v>0</v>
      </c>
      <c r="L104" s="3">
        <f t="shared" si="4"/>
        <v>-177.3409584039</v>
      </c>
      <c r="M104" s="3">
        <f t="shared" si="4"/>
        <v>0</v>
      </c>
      <c r="N104" s="3">
        <f t="shared" si="4"/>
        <v>-274.30072308115598</v>
      </c>
      <c r="O104" s="3">
        <f t="shared" si="4"/>
        <v>0</v>
      </c>
      <c r="P104" s="3">
        <f t="shared" si="4"/>
        <v>894.95723693093441</v>
      </c>
      <c r="Q104" s="3">
        <f t="shared" si="4"/>
        <v>0</v>
      </c>
      <c r="R104" s="3">
        <f t="shared" si="4"/>
        <v>0</v>
      </c>
      <c r="S104" s="3">
        <f t="shared" si="4"/>
        <v>0</v>
      </c>
      <c r="T104" s="3">
        <f t="shared" si="4"/>
        <v>0</v>
      </c>
      <c r="U104" s="3">
        <f t="shared" si="4"/>
        <v>2356.3475399067493</v>
      </c>
      <c r="V104" s="3">
        <f t="shared" si="4"/>
        <v>0</v>
      </c>
      <c r="W104" s="3">
        <f t="shared" si="4"/>
        <v>291.05899469133294</v>
      </c>
      <c r="Y104" s="2" cm="1">
        <f t="array" ref="Y104">+SUM(D104:W104*1000000)/1000000000</f>
        <v>3.213828076126362</v>
      </c>
    </row>
    <row r="105" spans="3:25" x14ac:dyDescent="0.2">
      <c r="C105">
        <v>6004</v>
      </c>
      <c r="D105" s="3">
        <f t="shared" si="4"/>
        <v>0</v>
      </c>
      <c r="E105" s="3">
        <f t="shared" si="4"/>
        <v>0</v>
      </c>
      <c r="F105" s="3">
        <f t="shared" si="4"/>
        <v>0</v>
      </c>
      <c r="G105" s="3">
        <f t="shared" si="4"/>
        <v>0</v>
      </c>
      <c r="H105" s="3">
        <f t="shared" si="4"/>
        <v>0</v>
      </c>
      <c r="I105" s="3">
        <f t="shared" si="4"/>
        <v>0</v>
      </c>
      <c r="J105" s="3">
        <f t="shared" si="4"/>
        <v>134.46685659725151</v>
      </c>
      <c r="K105" s="3">
        <f t="shared" si="4"/>
        <v>0</v>
      </c>
      <c r="L105" s="3">
        <f t="shared" si="4"/>
        <v>-184.13438055661899</v>
      </c>
      <c r="M105" s="3">
        <f t="shared" si="4"/>
        <v>0</v>
      </c>
      <c r="N105" s="3">
        <f t="shared" si="4"/>
        <v>-284.84189987398202</v>
      </c>
      <c r="O105" s="3">
        <f t="shared" si="4"/>
        <v>0</v>
      </c>
      <c r="P105" s="3">
        <f t="shared" si="4"/>
        <v>1196.1403440435959</v>
      </c>
      <c r="Q105" s="3">
        <f t="shared" si="4"/>
        <v>0</v>
      </c>
      <c r="R105" s="3">
        <f t="shared" si="4"/>
        <v>0</v>
      </c>
      <c r="S105" s="3">
        <f t="shared" ref="S105:Y105" si="5">+S66-S28</f>
        <v>0</v>
      </c>
      <c r="T105" s="3">
        <f t="shared" si="5"/>
        <v>-1072.0387847008701</v>
      </c>
      <c r="U105" s="3">
        <f t="shared" si="5"/>
        <v>2220.3030052620993</v>
      </c>
      <c r="V105" s="3">
        <f t="shared" si="5"/>
        <v>0</v>
      </c>
      <c r="W105" s="3">
        <f t="shared" si="5"/>
        <v>1209.9867080142521</v>
      </c>
      <c r="Y105" s="2" cm="1">
        <f t="array" ref="Y105">+SUM(D105:W105*1000000)/1000000000</f>
        <v>3.2198818487857275</v>
      </c>
    </row>
    <row r="106" spans="3:25" x14ac:dyDescent="0.2">
      <c r="C106">
        <v>6004</v>
      </c>
      <c r="D106" s="3">
        <f t="shared" ref="D106:W116" si="6">+D67-D29</f>
        <v>0</v>
      </c>
      <c r="E106" s="3">
        <f t="shared" si="6"/>
        <v>0</v>
      </c>
      <c r="F106" s="3">
        <f t="shared" si="6"/>
        <v>0</v>
      </c>
      <c r="G106" s="3">
        <f t="shared" si="6"/>
        <v>0</v>
      </c>
      <c r="H106" s="3">
        <f t="shared" si="6"/>
        <v>0</v>
      </c>
      <c r="I106" s="3">
        <f t="shared" si="6"/>
        <v>0</v>
      </c>
      <c r="J106" s="3">
        <f t="shared" si="6"/>
        <v>141.5964554088356</v>
      </c>
      <c r="K106" s="3">
        <f t="shared" si="6"/>
        <v>0</v>
      </c>
      <c r="L106" s="3">
        <f t="shared" si="6"/>
        <v>-191.88236287865601</v>
      </c>
      <c r="M106" s="3">
        <f t="shared" si="6"/>
        <v>0</v>
      </c>
      <c r="N106" s="3">
        <f t="shared" si="6"/>
        <v>-296.86391415958002</v>
      </c>
      <c r="O106" s="3">
        <f t="shared" si="6"/>
        <v>0</v>
      </c>
      <c r="P106" s="3">
        <f t="shared" si="6"/>
        <v>1256.496864687595</v>
      </c>
      <c r="Q106" s="3">
        <f t="shared" si="6"/>
        <v>0</v>
      </c>
      <c r="R106" s="3">
        <f t="shared" si="6"/>
        <v>0</v>
      </c>
      <c r="S106" s="3">
        <f t="shared" si="6"/>
        <v>0</v>
      </c>
      <c r="T106" s="3">
        <f t="shared" si="6"/>
        <v>0</v>
      </c>
      <c r="U106" s="3">
        <f t="shared" si="6"/>
        <v>2137.1295365324731</v>
      </c>
      <c r="V106" s="3">
        <f t="shared" si="6"/>
        <v>0</v>
      </c>
      <c r="W106" s="3">
        <f t="shared" si="6"/>
        <v>2296.5252683767549</v>
      </c>
      <c r="Y106" s="2" cm="1">
        <f t="array" ref="Y106">+SUM(D106:W106*1000000)/1000000000</f>
        <v>5.3430018479674226</v>
      </c>
    </row>
    <row r="107" spans="3:25" x14ac:dyDescent="0.2">
      <c r="C107">
        <v>6004</v>
      </c>
      <c r="D107" s="3">
        <f t="shared" si="6"/>
        <v>0</v>
      </c>
      <c r="E107" s="3">
        <f t="shared" si="6"/>
        <v>0</v>
      </c>
      <c r="F107" s="3">
        <f t="shared" si="6"/>
        <v>0</v>
      </c>
      <c r="G107" s="3">
        <f t="shared" si="6"/>
        <v>0</v>
      </c>
      <c r="H107" s="3">
        <f t="shared" si="6"/>
        <v>0</v>
      </c>
      <c r="I107" s="3">
        <f t="shared" si="6"/>
        <v>0</v>
      </c>
      <c r="J107" s="3">
        <f t="shared" si="6"/>
        <v>190.7138861447927</v>
      </c>
      <c r="K107" s="3">
        <f t="shared" si="6"/>
        <v>0</v>
      </c>
      <c r="L107" s="3">
        <f t="shared" si="6"/>
        <v>-221.53091004096399</v>
      </c>
      <c r="M107" s="3">
        <f t="shared" si="6"/>
        <v>0</v>
      </c>
      <c r="N107" s="3">
        <f t="shared" si="6"/>
        <v>-343.06680517638199</v>
      </c>
      <c r="O107" s="3">
        <f t="shared" si="6"/>
        <v>0</v>
      </c>
      <c r="P107" s="3">
        <f t="shared" si="6"/>
        <v>1148.1688854396</v>
      </c>
      <c r="Q107" s="3">
        <f t="shared" si="6"/>
        <v>0</v>
      </c>
      <c r="R107" s="3">
        <f t="shared" si="6"/>
        <v>167.724013882279</v>
      </c>
      <c r="S107" s="3">
        <f t="shared" si="6"/>
        <v>0</v>
      </c>
      <c r="T107" s="3">
        <f t="shared" si="6"/>
        <v>0</v>
      </c>
      <c r="U107" s="3">
        <f t="shared" si="6"/>
        <v>2116.4225457634989</v>
      </c>
      <c r="V107" s="3">
        <f t="shared" si="6"/>
        <v>0</v>
      </c>
      <c r="W107" s="3">
        <f t="shared" si="6"/>
        <v>2848.002738106692</v>
      </c>
      <c r="Y107" s="2" cm="1">
        <f t="array" ref="Y107">+SUM(D107:W107*1000000)/1000000000</f>
        <v>5.9064343541195168</v>
      </c>
    </row>
    <row r="108" spans="3:25" x14ac:dyDescent="0.2">
      <c r="C108">
        <v>6004</v>
      </c>
      <c r="D108" s="3">
        <f t="shared" si="6"/>
        <v>0</v>
      </c>
      <c r="E108" s="3">
        <f t="shared" si="6"/>
        <v>0</v>
      </c>
      <c r="F108" s="3">
        <f t="shared" si="6"/>
        <v>0</v>
      </c>
      <c r="G108" s="3">
        <f t="shared" si="6"/>
        <v>0</v>
      </c>
      <c r="H108" s="3">
        <f t="shared" si="6"/>
        <v>0</v>
      </c>
      <c r="I108" s="3">
        <f t="shared" si="6"/>
        <v>0</v>
      </c>
      <c r="J108" s="3">
        <f t="shared" si="6"/>
        <v>286.51954917615137</v>
      </c>
      <c r="K108" s="3">
        <f t="shared" si="6"/>
        <v>0</v>
      </c>
      <c r="L108" s="3">
        <f t="shared" si="6"/>
        <v>-222.163010440627</v>
      </c>
      <c r="M108" s="3">
        <f t="shared" si="6"/>
        <v>0</v>
      </c>
      <c r="N108" s="3">
        <f t="shared" si="6"/>
        <v>-344.04106333031302</v>
      </c>
      <c r="O108" s="3">
        <f t="shared" si="6"/>
        <v>0</v>
      </c>
      <c r="P108" s="3">
        <f t="shared" si="6"/>
        <v>938.90487734396095</v>
      </c>
      <c r="Q108" s="3">
        <f t="shared" si="6"/>
        <v>0</v>
      </c>
      <c r="R108" s="3">
        <f t="shared" si="6"/>
        <v>189.418824752809</v>
      </c>
      <c r="S108" s="3">
        <f t="shared" si="6"/>
        <v>0</v>
      </c>
      <c r="T108" s="3">
        <f t="shared" si="6"/>
        <v>-615.785617786481</v>
      </c>
      <c r="U108" s="3">
        <f t="shared" si="6"/>
        <v>2106.5988911098498</v>
      </c>
      <c r="V108" s="3">
        <f t="shared" si="6"/>
        <v>0</v>
      </c>
      <c r="W108" s="3">
        <f t="shared" si="6"/>
        <v>2739.8831690321058</v>
      </c>
      <c r="Y108" s="2" cm="1">
        <f t="array" ref="Y108">+SUM(D108:W108*1000000)/1000000000</f>
        <v>5.0793356198574564</v>
      </c>
    </row>
    <row r="109" spans="3:25" x14ac:dyDescent="0.2">
      <c r="C109">
        <v>6004</v>
      </c>
      <c r="D109" s="3">
        <f t="shared" si="6"/>
        <v>0</v>
      </c>
      <c r="E109" s="3">
        <f t="shared" si="6"/>
        <v>0</v>
      </c>
      <c r="F109" s="3">
        <f t="shared" si="6"/>
        <v>0</v>
      </c>
      <c r="G109" s="3">
        <f t="shared" si="6"/>
        <v>0</v>
      </c>
      <c r="H109" s="3">
        <f t="shared" si="6"/>
        <v>0</v>
      </c>
      <c r="I109" s="3">
        <f t="shared" si="6"/>
        <v>0</v>
      </c>
      <c r="J109" s="3">
        <f t="shared" si="6"/>
        <v>169.80020246698558</v>
      </c>
      <c r="K109" s="3">
        <f t="shared" si="6"/>
        <v>0</v>
      </c>
      <c r="L109" s="3">
        <f t="shared" si="6"/>
        <v>-220.51064262609</v>
      </c>
      <c r="M109" s="3">
        <f t="shared" si="6"/>
        <v>0</v>
      </c>
      <c r="N109" s="3">
        <f t="shared" si="6"/>
        <v>-1091.3765607024</v>
      </c>
      <c r="O109" s="3">
        <f t="shared" si="6"/>
        <v>0</v>
      </c>
      <c r="P109" s="3">
        <f t="shared" si="6"/>
        <v>801.55171395641537</v>
      </c>
      <c r="Q109" s="3">
        <f t="shared" si="6"/>
        <v>0</v>
      </c>
      <c r="R109" s="3">
        <f t="shared" si="6"/>
        <v>347.97624532057</v>
      </c>
      <c r="S109" s="3">
        <f t="shared" si="6"/>
        <v>0</v>
      </c>
      <c r="T109" s="3">
        <f t="shared" si="6"/>
        <v>0</v>
      </c>
      <c r="U109" s="3">
        <f t="shared" si="6"/>
        <v>3296.0224216957154</v>
      </c>
      <c r="V109" s="3">
        <f t="shared" si="6"/>
        <v>0</v>
      </c>
      <c r="W109" s="3">
        <f t="shared" si="6"/>
        <v>9269.7905298321402</v>
      </c>
      <c r="Y109" s="2" cm="1">
        <f t="array" ref="Y109">+SUM(D109:W109*1000000)/1000000000</f>
        <v>12.573253909943336</v>
      </c>
    </row>
    <row r="110" spans="3:25" x14ac:dyDescent="0.2">
      <c r="C110">
        <v>6004</v>
      </c>
      <c r="D110" s="3">
        <f t="shared" si="6"/>
        <v>0</v>
      </c>
      <c r="E110" s="3">
        <f t="shared" si="6"/>
        <v>0</v>
      </c>
      <c r="F110" s="3">
        <f t="shared" si="6"/>
        <v>0</v>
      </c>
      <c r="G110" s="3">
        <f t="shared" si="6"/>
        <v>0</v>
      </c>
      <c r="H110" s="3">
        <f t="shared" si="6"/>
        <v>0</v>
      </c>
      <c r="I110" s="3">
        <f t="shared" si="6"/>
        <v>0</v>
      </c>
      <c r="J110" s="3">
        <f t="shared" si="6"/>
        <v>177.0747608136065</v>
      </c>
      <c r="K110" s="3">
        <f t="shared" si="6"/>
        <v>0</v>
      </c>
      <c r="L110" s="3">
        <f t="shared" si="6"/>
        <v>-218.86191295341899</v>
      </c>
      <c r="M110" s="3">
        <f t="shared" si="6"/>
        <v>0</v>
      </c>
      <c r="N110" s="3">
        <f t="shared" si="6"/>
        <v>-884.48189791480195</v>
      </c>
      <c r="O110" s="3">
        <f t="shared" si="6"/>
        <v>0</v>
      </c>
      <c r="P110" s="3">
        <f t="shared" si="6"/>
        <v>784.18990563504622</v>
      </c>
      <c r="Q110" s="3">
        <f t="shared" si="6"/>
        <v>0</v>
      </c>
      <c r="R110" s="3">
        <f t="shared" si="6"/>
        <v>0</v>
      </c>
      <c r="S110" s="3">
        <f t="shared" si="6"/>
        <v>0</v>
      </c>
      <c r="T110" s="3">
        <f t="shared" si="6"/>
        <v>0</v>
      </c>
      <c r="U110" s="3">
        <f t="shared" si="6"/>
        <v>3925.7019641810602</v>
      </c>
      <c r="V110" s="3">
        <f t="shared" si="6"/>
        <v>0</v>
      </c>
      <c r="W110" s="3">
        <f t="shared" si="6"/>
        <v>-254.14463291858499</v>
      </c>
      <c r="Y110" s="2" cm="1">
        <f t="array" ref="Y110">+SUM(D110:W110*1000000)/1000000000</f>
        <v>3.5294781868429075</v>
      </c>
    </row>
    <row r="111" spans="3:25" x14ac:dyDescent="0.2">
      <c r="C111">
        <v>6004</v>
      </c>
      <c r="D111" s="3">
        <f t="shared" si="6"/>
        <v>0</v>
      </c>
      <c r="E111" s="3">
        <f t="shared" si="6"/>
        <v>0</v>
      </c>
      <c r="F111" s="3">
        <f t="shared" si="6"/>
        <v>0</v>
      </c>
      <c r="G111" s="3">
        <f t="shared" si="6"/>
        <v>0</v>
      </c>
      <c r="H111" s="3">
        <f t="shared" si="6"/>
        <v>0</v>
      </c>
      <c r="I111" s="3">
        <f t="shared" si="6"/>
        <v>0</v>
      </c>
      <c r="J111" s="3">
        <f t="shared" si="6"/>
        <v>184.21144364900098</v>
      </c>
      <c r="K111" s="3">
        <f t="shared" si="6"/>
        <v>0</v>
      </c>
      <c r="L111" s="3">
        <f t="shared" si="6"/>
        <v>-215.14723148629599</v>
      </c>
      <c r="M111" s="3">
        <f t="shared" si="6"/>
        <v>0</v>
      </c>
      <c r="N111" s="3">
        <f t="shared" si="6"/>
        <v>-390.39500259127601</v>
      </c>
      <c r="O111" s="3">
        <f t="shared" si="6"/>
        <v>0</v>
      </c>
      <c r="P111" s="3">
        <f t="shared" si="6"/>
        <v>650.66326770488297</v>
      </c>
      <c r="Q111" s="3">
        <f t="shared" si="6"/>
        <v>0</v>
      </c>
      <c r="R111" s="3">
        <f t="shared" si="6"/>
        <v>0</v>
      </c>
      <c r="S111" s="3">
        <f t="shared" si="6"/>
        <v>0</v>
      </c>
      <c r="T111" s="3">
        <f t="shared" si="6"/>
        <v>-638.40015703812605</v>
      </c>
      <c r="U111" s="3">
        <f t="shared" si="6"/>
        <v>3821.2125911593494</v>
      </c>
      <c r="V111" s="3">
        <f t="shared" si="6"/>
        <v>0</v>
      </c>
      <c r="W111" s="3">
        <f t="shared" si="6"/>
        <v>111.66265327517976</v>
      </c>
      <c r="Y111" s="2" cm="1">
        <f t="array" ref="Y111">+SUM(D111:W111*1000000)/1000000000</f>
        <v>3.5238075646727154</v>
      </c>
    </row>
    <row r="112" spans="3:25" x14ac:dyDescent="0.2">
      <c r="C112">
        <v>6004</v>
      </c>
      <c r="D112" s="3">
        <f t="shared" si="6"/>
        <v>0</v>
      </c>
      <c r="E112" s="3">
        <f t="shared" si="6"/>
        <v>0</v>
      </c>
      <c r="F112" s="3">
        <f t="shared" si="6"/>
        <v>0</v>
      </c>
      <c r="G112" s="3">
        <f t="shared" si="6"/>
        <v>0</v>
      </c>
      <c r="H112" s="3">
        <f t="shared" si="6"/>
        <v>0</v>
      </c>
      <c r="I112" s="3">
        <f t="shared" si="6"/>
        <v>0</v>
      </c>
      <c r="J112" s="3">
        <f t="shared" si="6"/>
        <v>191.3175984474243</v>
      </c>
      <c r="K112" s="3">
        <f t="shared" si="6"/>
        <v>0</v>
      </c>
      <c r="L112" s="3">
        <f t="shared" si="6"/>
        <v>-211.68102596453099</v>
      </c>
      <c r="M112" s="3">
        <f t="shared" si="6"/>
        <v>0</v>
      </c>
      <c r="N112" s="3">
        <f t="shared" si="6"/>
        <v>-394.61956444165702</v>
      </c>
      <c r="O112" s="3">
        <f t="shared" si="6"/>
        <v>0</v>
      </c>
      <c r="P112" s="3">
        <f t="shared" si="6"/>
        <v>923.91268464543293</v>
      </c>
      <c r="Q112" s="3">
        <f t="shared" si="6"/>
        <v>0</v>
      </c>
      <c r="R112" s="3">
        <f t="shared" si="6"/>
        <v>0</v>
      </c>
      <c r="S112" s="3">
        <f t="shared" si="6"/>
        <v>0</v>
      </c>
      <c r="T112" s="3">
        <f t="shared" si="6"/>
        <v>0</v>
      </c>
      <c r="U112" s="3">
        <f t="shared" si="6"/>
        <v>5437.0722954169796</v>
      </c>
      <c r="V112" s="3">
        <f t="shared" si="6"/>
        <v>0</v>
      </c>
      <c r="W112" s="3">
        <f t="shared" si="6"/>
        <v>-210.82996410064925</v>
      </c>
      <c r="Y112" s="2" cm="1">
        <f t="array" ref="Y112">+SUM(D112:W112*1000000)/1000000000</f>
        <v>5.735172024003</v>
      </c>
    </row>
    <row r="113" spans="3:25" x14ac:dyDescent="0.2">
      <c r="C113">
        <v>6004</v>
      </c>
      <c r="D113" s="3">
        <f t="shared" si="6"/>
        <v>0</v>
      </c>
      <c r="E113" s="3">
        <f t="shared" si="6"/>
        <v>0</v>
      </c>
      <c r="F113" s="3">
        <f t="shared" si="6"/>
        <v>0</v>
      </c>
      <c r="G113" s="3">
        <f t="shared" si="6"/>
        <v>0</v>
      </c>
      <c r="H113" s="3">
        <f t="shared" si="6"/>
        <v>0</v>
      </c>
      <c r="I113" s="3">
        <f t="shared" si="6"/>
        <v>0</v>
      </c>
      <c r="J113" s="3">
        <f t="shared" si="6"/>
        <v>198.7640869365481</v>
      </c>
      <c r="K113" s="3">
        <f t="shared" si="6"/>
        <v>0</v>
      </c>
      <c r="L113" s="3">
        <f t="shared" si="6"/>
        <v>-209.58903961482301</v>
      </c>
      <c r="M113" s="3">
        <f t="shared" si="6"/>
        <v>0</v>
      </c>
      <c r="N113" s="3">
        <f t="shared" si="6"/>
        <v>-758.08173403054298</v>
      </c>
      <c r="O113" s="3">
        <f t="shared" si="6"/>
        <v>0</v>
      </c>
      <c r="P113" s="3">
        <f t="shared" si="6"/>
        <v>1363.3914176939361</v>
      </c>
      <c r="Q113" s="3">
        <f t="shared" si="6"/>
        <v>0</v>
      </c>
      <c r="R113" s="3">
        <f t="shared" si="6"/>
        <v>0</v>
      </c>
      <c r="S113" s="3">
        <f t="shared" si="6"/>
        <v>0</v>
      </c>
      <c r="T113" s="3">
        <f t="shared" si="6"/>
        <v>0</v>
      </c>
      <c r="U113" s="3">
        <f t="shared" si="6"/>
        <v>3514.5413174271521</v>
      </c>
      <c r="V113" s="3">
        <f t="shared" si="6"/>
        <v>0</v>
      </c>
      <c r="W113" s="3">
        <f t="shared" si="6"/>
        <v>-157.1412290026083</v>
      </c>
      <c r="Y113" s="2" cm="1">
        <f t="array" ref="Y113">+SUM(D113:W113*1000000)/1000000000</f>
        <v>3.9518848194096621</v>
      </c>
    </row>
    <row r="114" spans="3:25" x14ac:dyDescent="0.2">
      <c r="C114">
        <v>6004</v>
      </c>
      <c r="D114" s="3">
        <f t="shared" si="6"/>
        <v>0</v>
      </c>
      <c r="E114" s="3">
        <f t="shared" si="6"/>
        <v>0</v>
      </c>
      <c r="F114" s="3">
        <f t="shared" si="6"/>
        <v>0</v>
      </c>
      <c r="G114" s="3">
        <f t="shared" si="6"/>
        <v>0</v>
      </c>
      <c r="H114" s="3">
        <f t="shared" si="6"/>
        <v>0</v>
      </c>
      <c r="I114" s="3">
        <f t="shared" si="6"/>
        <v>0</v>
      </c>
      <c r="J114" s="3">
        <f t="shared" si="6"/>
        <v>197.91396038007389</v>
      </c>
      <c r="K114" s="3">
        <f t="shared" si="6"/>
        <v>0</v>
      </c>
      <c r="L114" s="3">
        <f t="shared" si="6"/>
        <v>-1049.9051799781</v>
      </c>
      <c r="M114" s="3">
        <f t="shared" si="6"/>
        <v>0</v>
      </c>
      <c r="N114" s="3">
        <f t="shared" si="6"/>
        <v>-1219.19156693126</v>
      </c>
      <c r="O114" s="3">
        <f t="shared" si="6"/>
        <v>0</v>
      </c>
      <c r="P114" s="3">
        <f t="shared" si="6"/>
        <v>1091.3012482096831</v>
      </c>
      <c r="Q114" s="3">
        <f t="shared" si="6"/>
        <v>0</v>
      </c>
      <c r="R114" s="3">
        <f t="shared" si="6"/>
        <v>0</v>
      </c>
      <c r="S114" s="3">
        <f t="shared" si="6"/>
        <v>0</v>
      </c>
      <c r="T114" s="3">
        <f t="shared" si="6"/>
        <v>-164.633031731817</v>
      </c>
      <c r="U114" s="3">
        <f t="shared" si="6"/>
        <v>6418.8831594217199</v>
      </c>
      <c r="V114" s="3">
        <f t="shared" si="6"/>
        <v>0</v>
      </c>
      <c r="W114" s="3">
        <f t="shared" si="6"/>
        <v>449.72293221089916</v>
      </c>
      <c r="Y114" s="2" cm="1">
        <f t="array" ref="Y114">+SUM(D114:W114*1000000)/1000000000</f>
        <v>5.7240915215811983</v>
      </c>
    </row>
    <row r="115" spans="3:25" x14ac:dyDescent="0.2">
      <c r="C115">
        <v>6004</v>
      </c>
      <c r="D115" s="3">
        <f t="shared" si="6"/>
        <v>0</v>
      </c>
      <c r="E115" s="3">
        <f t="shared" si="6"/>
        <v>0</v>
      </c>
      <c r="F115" s="3">
        <f t="shared" si="6"/>
        <v>0</v>
      </c>
      <c r="G115" s="3">
        <f t="shared" si="6"/>
        <v>0</v>
      </c>
      <c r="H115" s="3">
        <f t="shared" si="6"/>
        <v>0</v>
      </c>
      <c r="I115" s="3">
        <f t="shared" si="6"/>
        <v>0</v>
      </c>
      <c r="J115" s="3">
        <f t="shared" si="6"/>
        <v>-24.545590845254001</v>
      </c>
      <c r="K115" s="3">
        <f t="shared" si="6"/>
        <v>0</v>
      </c>
      <c r="L115" s="3">
        <f t="shared" si="6"/>
        <v>-281.30418694310998</v>
      </c>
      <c r="M115" s="3">
        <f t="shared" si="6"/>
        <v>0</v>
      </c>
      <c r="N115" s="3">
        <f t="shared" si="6"/>
        <v>-432.23401317220402</v>
      </c>
      <c r="O115" s="3">
        <f t="shared" si="6"/>
        <v>0</v>
      </c>
      <c r="P115" s="3">
        <f t="shared" si="6"/>
        <v>1184.5588644100719</v>
      </c>
      <c r="Q115" s="3">
        <f t="shared" si="6"/>
        <v>0</v>
      </c>
      <c r="R115" s="3">
        <f t="shared" si="6"/>
        <v>0</v>
      </c>
      <c r="S115" s="3">
        <f t="shared" si="6"/>
        <v>0</v>
      </c>
      <c r="T115" s="3">
        <f t="shared" si="6"/>
        <v>-186.62654774427401</v>
      </c>
      <c r="U115" s="3">
        <f t="shared" si="6"/>
        <v>5343.5067719610151</v>
      </c>
      <c r="V115" s="3">
        <f t="shared" si="6"/>
        <v>0</v>
      </c>
      <c r="W115" s="3">
        <f t="shared" si="6"/>
        <v>-156.78262163871301</v>
      </c>
      <c r="Y115" s="2" cm="1">
        <f t="array" ref="Y115">+SUM(D115:W115*1000000)/1000000000</f>
        <v>5.4465726760275315</v>
      </c>
    </row>
    <row r="116" spans="3:25" x14ac:dyDescent="0.2">
      <c r="C116">
        <v>6004</v>
      </c>
      <c r="D116" s="3">
        <f t="shared" si="6"/>
        <v>0</v>
      </c>
      <c r="E116" s="3">
        <f t="shared" si="6"/>
        <v>0</v>
      </c>
      <c r="F116" s="3">
        <f t="shared" si="6"/>
        <v>0</v>
      </c>
      <c r="G116" s="3">
        <f t="shared" si="6"/>
        <v>0</v>
      </c>
      <c r="H116" s="3">
        <f t="shared" si="6"/>
        <v>0</v>
      </c>
      <c r="I116" s="3">
        <f t="shared" si="6"/>
        <v>0</v>
      </c>
      <c r="J116" s="3">
        <f t="shared" si="6"/>
        <v>-25.387965424052702</v>
      </c>
      <c r="K116" s="3">
        <f t="shared" si="6"/>
        <v>0</v>
      </c>
      <c r="L116" s="3">
        <f t="shared" si="6"/>
        <v>-36.599281910306999</v>
      </c>
      <c r="M116" s="3">
        <f t="shared" si="6"/>
        <v>0</v>
      </c>
      <c r="N116" s="3">
        <f t="shared" si="6"/>
        <v>-887.56321702977698</v>
      </c>
      <c r="O116" s="3">
        <f t="shared" si="6"/>
        <v>0</v>
      </c>
      <c r="P116" s="3">
        <f t="shared" si="6"/>
        <v>5734.6865800847745</v>
      </c>
      <c r="Q116" s="3">
        <f t="shared" si="6"/>
        <v>0</v>
      </c>
      <c r="R116" s="3">
        <f t="shared" si="6"/>
        <v>0</v>
      </c>
      <c r="S116" s="3">
        <f t="shared" si="6"/>
        <v>0</v>
      </c>
      <c r="T116" s="3">
        <f t="shared" si="6"/>
        <v>-187.12561127666299</v>
      </c>
      <c r="U116" s="3">
        <f t="shared" si="6"/>
        <v>2378.6100407059844</v>
      </c>
      <c r="V116" s="3">
        <f t="shared" si="6"/>
        <v>0</v>
      </c>
      <c r="W116" s="3">
        <f t="shared" si="6"/>
        <v>-192.81078964990499</v>
      </c>
      <c r="Y116" s="2"/>
    </row>
    <row r="118" spans="3:25" x14ac:dyDescent="0.2">
      <c r="Y118" s="2">
        <f>+SUM(Y79:Y116)</f>
        <v>113.5947975835839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capital_cost</vt:lpstr>
      <vt:lpstr>Pathway_2</vt:lpstr>
      <vt:lpstr>Pathway_3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Carlos Fabian Fuentes Rivas</cp:lastModifiedBy>
  <dcterms:created xsi:type="dcterms:W3CDTF">2026-01-30T00:28:35Z</dcterms:created>
  <dcterms:modified xsi:type="dcterms:W3CDTF">2026-01-30T03:40:53Z</dcterms:modified>
</cp:coreProperties>
</file>