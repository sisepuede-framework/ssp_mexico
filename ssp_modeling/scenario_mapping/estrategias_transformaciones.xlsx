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exico/ssp_modeling/scenario_mapping/"/>
    </mc:Choice>
  </mc:AlternateContent>
  <xr:revisionPtr revIDLastSave="0" documentId="13_ncr:1_{50475CE3-52EE-4747-B172-9FF82309F2DC}" xr6:coauthVersionLast="47" xr6:coauthVersionMax="47" xr10:uidLastSave="{00000000-0000-0000-0000-000000000000}"/>
  <bookViews>
    <workbookView xWindow="-51200" yWindow="-7140" windowWidth="51200" windowHeight="28180" activeTab="1" xr2:uid="{316935D6-48FA-E947-83FD-3EDFEF105AC2}"/>
  </bookViews>
  <sheets>
    <sheet name="estrategias_transformaciones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</calcChain>
</file>

<file path=xl/sharedStrings.xml><?xml version="1.0" encoding="utf-8"?>
<sst xmlns="http://schemas.openxmlformats.org/spreadsheetml/2006/main" count="228" uniqueCount="83">
  <si>
    <t>strategy</t>
  </si>
  <si>
    <t>transformations</t>
  </si>
  <si>
    <t>Reference</t>
  </si>
  <si>
    <t>PEMEX‚ÄìCFE + NDC</t>
  </si>
  <si>
    <t>PEMEX‚ÄìCFE + 2050</t>
  </si>
  <si>
    <t>PEMEX‚ÄìCFE + 2060</t>
  </si>
  <si>
    <t>Renewables + NDC</t>
  </si>
  <si>
    <t>Renewables + 2050</t>
  </si>
  <si>
    <t>Renewables + 2060</t>
  </si>
  <si>
    <t>ENTC:DEC_LOSSES</t>
  </si>
  <si>
    <t xml:space="preserve"> FGTV:DEC_LEAKS</t>
  </si>
  <si>
    <t xml:space="preserve"> SCOE:INC_EFFICIENCY_APPLIANCE</t>
  </si>
  <si>
    <t xml:space="preserve"> SCOE:INC_EFFICIENCY_HEAT</t>
  </si>
  <si>
    <t xml:space="preserve"> TRNS:INC_EFFICIENCY_NON_ELECTRIC</t>
  </si>
  <si>
    <t xml:space="preserve"> TRNS:INC_EFFICIENCY_ELECTRIC</t>
  </si>
  <si>
    <t xml:space="preserve"> TRNS:INC_OCCUPANCY_LIGHT_DUTY</t>
  </si>
  <si>
    <t xml:space="preserve"> TRNS:SHIFT_MODE_PASSENGER</t>
  </si>
  <si>
    <t xml:space="preserve"> TRNS:SHIFT_MODE_FREIGHT</t>
  </si>
  <si>
    <t xml:space="preserve"> INEN:INC_EFFICIENCY_ENERGY</t>
  </si>
  <si>
    <t xml:space="preserve"> INEN:INC_EFFICIENCY_PRODUCTION</t>
  </si>
  <si>
    <t xml:space="preserve"> IPPU:DEC_HFCS</t>
  </si>
  <si>
    <t xml:space="preserve"> IPPU:DEC_PFCS</t>
  </si>
  <si>
    <t xml:space="preserve"> AGRC:DEC_CH4_RICE</t>
  </si>
  <si>
    <t xml:space="preserve"> AGRC:DEC_LOSSES_SUPPLY_CHAIN</t>
  </si>
  <si>
    <t xml:space="preserve"> AGRC:INC_CONSERVATION_AGRICULTURE</t>
  </si>
  <si>
    <t xml:space="preserve"> AGRC:INC_PRODUCTIVITY</t>
  </si>
  <si>
    <t xml:space="preserve"> LNDU:DEC_DEFORESTATION</t>
  </si>
  <si>
    <t>FGTV:DEC_LEAKS</t>
  </si>
  <si>
    <t xml:space="preserve"> FGTV:INC_FLARE</t>
  </si>
  <si>
    <t xml:space="preserve"> ENTC:DEC_LOSSES</t>
  </si>
  <si>
    <t xml:space="preserve"> ENTC:TARGET_RENEWABLE_ELEC</t>
  </si>
  <si>
    <t xml:space="preserve"> SCOE:SHIFT_FUEL_HEAT</t>
  </si>
  <si>
    <t xml:space="preserve"> TRNS:SHIFT_FUEL_LIGHT_DUTY</t>
  </si>
  <si>
    <t xml:space="preserve"> IPPU:DEC_N2O</t>
  </si>
  <si>
    <t xml:space="preserve"> WASO:INC_CAPTURE_BIOGAS</t>
  </si>
  <si>
    <t xml:space="preserve"> WASO:INC_RECYCLING</t>
  </si>
  <si>
    <t xml:space="preserve"> LNDU:INC_REFORESTATION</t>
  </si>
  <si>
    <t xml:space="preserve"> CCSQ:INC_CAPTURE</t>
  </si>
  <si>
    <t xml:space="preserve"> ENTC:TARGET_CLEAN_HYDROGEN</t>
  </si>
  <si>
    <t xml:space="preserve"> TRNS:SHIFT_FUEL_RAIL</t>
  </si>
  <si>
    <t xml:space="preserve"> INEN:SHIFT_FUEL_HEAT</t>
  </si>
  <si>
    <t xml:space="preserve"> IPPU:DEC_OTHER_FCS</t>
  </si>
  <si>
    <t xml:space="preserve"> WASO:INC_ENERGY_FROM_BIOGAS</t>
  </si>
  <si>
    <t>ENTC:TARGET_RENEWABLE_ELEC</t>
  </si>
  <si>
    <t>TX:ENTC:DEC_LOSSES</t>
  </si>
  <si>
    <t>TX:TRNS:INC_EFFICIENCY_NON_ELECTRIC</t>
  </si>
  <si>
    <t>TX:TRNS:INC_EFFICIENCY_ELECTRIC</t>
  </si>
  <si>
    <t>TX:TRNS:INC_OCCUPANCY_LIGHT_DUTY</t>
  </si>
  <si>
    <t>TX:TRNS:SHIFT_MODE_PASSENGER</t>
  </si>
  <si>
    <t>TX:TRNS:SHIFT_MODE_FREIGHT</t>
  </si>
  <si>
    <t>TX:INEN:INC_EFFICIENCY_ENERGY</t>
  </si>
  <si>
    <t>TX:INEN:INC_EFFICIENCY_PRODUCTION</t>
  </si>
  <si>
    <t>TX:IPPU:DEC_HFCS</t>
  </si>
  <si>
    <t>TX:IPPU:DEC_PFCS</t>
  </si>
  <si>
    <t>TX:AGRC:DEC_CH4_RICE</t>
  </si>
  <si>
    <t>TX:AGRC:DEC_LOSSES_SUPPLY_CHAIN</t>
  </si>
  <si>
    <t>TX:AGRC:INC_CONSERVATION_AGRICULTURE</t>
  </si>
  <si>
    <t>TX:AGRC:INC_PRODUCTIVITY</t>
  </si>
  <si>
    <t>TX:LNDU:DEC_DEFORESTATION</t>
  </si>
  <si>
    <t>TX:SCOE:INC_EFFICIENCY_HEAT</t>
  </si>
  <si>
    <t>TX:SCOE:INC_EFFICIENCY_APPLIANCE</t>
  </si>
  <si>
    <t>TX:FGTV:DEC_LEAKS</t>
  </si>
  <si>
    <t>TX:FGTV:INC_FLARE</t>
  </si>
  <si>
    <t>TX:ENTC:TARGET_RENEWABLE_ELEC</t>
  </si>
  <si>
    <t>TX:SCOE:SHIFT_FUEL_HEAT</t>
  </si>
  <si>
    <t>TX:TRNS:SHIFT_FUEL_LIGHT_DUTY</t>
  </si>
  <si>
    <t>TX:IPPU:DEC_N2O</t>
  </si>
  <si>
    <t>TX:WASO:INC_CAPTURE_BIOGAS</t>
  </si>
  <si>
    <t>TX:WASO:INC_RECYCLING</t>
  </si>
  <si>
    <t>TX:LNDU:INC_REFORESTATION</t>
  </si>
  <si>
    <t>strategy_NDC_3.0</t>
  </si>
  <si>
    <t>strategy_PEMEX_CFE_NDC</t>
  </si>
  <si>
    <t>strategy_PEMEX_CFE_2050</t>
  </si>
  <si>
    <t>strategy_PEMEX_CFE_2060</t>
  </si>
  <si>
    <t>strategy_Renewables_2050</t>
  </si>
  <si>
    <t>strategy_Renewables_2060</t>
  </si>
  <si>
    <t>strategy_Renewables_NDC</t>
  </si>
  <si>
    <t>TX:CCSQ:INC_CAPTURE</t>
  </si>
  <si>
    <t>TX:ENTC:TARGET_CLEAN_HYDROGEN</t>
  </si>
  <si>
    <t>TX:TRNS:SHIFT_FUEL_RAIL</t>
  </si>
  <si>
    <t>TX:INEN:SHIFT_FUEL_HEAT</t>
  </si>
  <si>
    <t>TX:IPPU:DEC_OTHER_FCS</t>
  </si>
  <si>
    <t>TX:WASO:INC_ENERGY_FROM_BIOGAS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</si>
</sst>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33" borderId="0" xfId="0" applyFill="1"/>
    <xf numFmtId="164" fontId="18" fillId="34" borderId="10" xfId="0" applyNumberFormat="1" applyFont="1" applyFill="1" applyBorder="1" applyAlignment="1">
      <alignment horizontal="center" vertical="center" wrapText="1"/>
    </xf>
    <xf numFmtId="164" fontId="18" fillId="35" borderId="10" xfId="0" applyNumberFormat="1" applyFont="1" applyFill="1" applyBorder="1" applyAlignment="1">
      <alignment horizontal="center" vertical="center" wrapText="1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bianfuentes/git/ssp_mexico/ssp_modeling/scenario_mapping/ssp_mexico_transformation_strategy.xlsx" TargetMode="External"/><Relationship Id="rId1" Type="http://schemas.openxmlformats.org/officeDocument/2006/relationships/externalLinkPath" Target="ssp_mexico_transformation_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yaml"/>
    </sheetNames>
    <sheetDataSet>
      <sheetData sheetId="0">
        <row r="2">
          <cell r="C2" t="str">
            <v>TX:AGRC:DEC_CH4_RICE</v>
          </cell>
        </row>
        <row r="3">
          <cell r="C3" t="str">
            <v>TX:AGRC:DEC_EXPORTS</v>
          </cell>
        </row>
        <row r="4">
          <cell r="C4" t="str">
            <v>TX:AGRC:DEC_LOSSES_SUPPLY_CHAIN</v>
          </cell>
        </row>
        <row r="5">
          <cell r="C5" t="str">
            <v>TX:AGRC:INC_CONSERVATION_AGRICULTURE</v>
          </cell>
        </row>
        <row r="6">
          <cell r="C6" t="str">
            <v>TX:AGRC:INC_PRODUCTIVITY</v>
          </cell>
        </row>
        <row r="7">
          <cell r="C7" t="str">
            <v>TX:CCSQ:INC_CAPTURE</v>
          </cell>
        </row>
        <row r="8">
          <cell r="C8" t="str">
            <v>TX:ENTC:DEC_LOSSES</v>
          </cell>
        </row>
        <row r="9">
          <cell r="C9" t="str">
            <v>TX:ENTC:TARGET_CLEAN_HYDROGEN</v>
          </cell>
        </row>
        <row r="10">
          <cell r="C10" t="str">
            <v>TX:ENTC:TARGET_RENEWABLE_ELEC</v>
          </cell>
        </row>
        <row r="11">
          <cell r="C11" t="str">
            <v>TX:FGTV:DEC_LEAKS</v>
          </cell>
        </row>
        <row r="12">
          <cell r="C12" t="str">
            <v>TX:FGTV:INC_FLARE</v>
          </cell>
        </row>
        <row r="13">
          <cell r="C13" t="str">
            <v>TX:INEN:INC_EFFICIENCY_ENERGY</v>
          </cell>
        </row>
        <row r="14">
          <cell r="C14" t="str">
            <v>TX:INEN:INC_EFFICIENCY_PRODUCTION</v>
          </cell>
        </row>
        <row r="15">
          <cell r="C15" t="str">
            <v>TX:INEN:SHIFT_FUEL_HEAT</v>
          </cell>
        </row>
        <row r="16">
          <cell r="C16" t="str">
            <v>TX:IPPU:DEC_CLINKER</v>
          </cell>
        </row>
        <row r="17">
          <cell r="C17" t="str">
            <v>TX:IPPU:DEC_DEMAND</v>
          </cell>
        </row>
        <row r="18">
          <cell r="C18" t="str">
            <v>TX:IPPU:DEC_HFCS</v>
          </cell>
        </row>
        <row r="19">
          <cell r="C19" t="str">
            <v>TX:IPPU:DEC_N2O</v>
          </cell>
        </row>
        <row r="20">
          <cell r="C20" t="str">
            <v>TX:IPPU:DEC_OTHER_FCS</v>
          </cell>
        </row>
        <row r="21">
          <cell r="C21" t="str">
            <v>TX:IPPU:DEC_PFCS</v>
          </cell>
        </row>
        <row r="22">
          <cell r="C22" t="str">
            <v>TX:LNDU:DEC_DEFORESTATION</v>
          </cell>
        </row>
        <row r="23">
          <cell r="C23" t="str">
            <v>TX:LNDU:DEC_SOC_LOSS_PASTURES</v>
          </cell>
        </row>
        <row r="24">
          <cell r="C24" t="str">
            <v>TX:LNDU:INC_REFORESTATION</v>
          </cell>
        </row>
        <row r="25">
          <cell r="C25" t="str">
            <v>TX:LNDU:INC_SILVOPASTURE</v>
          </cell>
        </row>
        <row r="26">
          <cell r="C26" t="str">
            <v>TX:LSMM:INC_CAPTURE_BIOGAS</v>
          </cell>
        </row>
        <row r="27">
          <cell r="C27" t="str">
            <v>TX:LSMM:INC_MANAGEMENT_CATTLE_PIGS</v>
          </cell>
        </row>
        <row r="28">
          <cell r="C28" t="str">
            <v>TX:LSMM:INC_MANAGEMENT_OTHER</v>
          </cell>
        </row>
        <row r="29">
          <cell r="C29" t="str">
            <v>TX:LSMM:INC_MANAGEMENT_POULTRY</v>
          </cell>
        </row>
        <row r="30">
          <cell r="C30" t="str">
            <v>TX:LVST:DEC_ENTERIC_FERMENTATION</v>
          </cell>
        </row>
        <row r="31">
          <cell r="C31" t="str">
            <v>TX:LVST:DEC_EXPORTS</v>
          </cell>
        </row>
        <row r="32">
          <cell r="C32" t="str">
            <v>TX:LVST:INC_PRODUCTIVITY</v>
          </cell>
        </row>
        <row r="33">
          <cell r="C33" t="str">
            <v>TX:PFLO:INC_HEALTHIER_DIETS</v>
          </cell>
        </row>
        <row r="34">
          <cell r="C34" t="str">
            <v>TX:PFLO:INC_IND_CCS</v>
          </cell>
        </row>
        <row r="35">
          <cell r="C35" t="str">
            <v>TX:SCOE:DEC_DEMAND_HEAT</v>
          </cell>
        </row>
        <row r="36">
          <cell r="C36" t="str">
            <v>TX:SCOE:INC_EFFICIENCY_APPLIANCE</v>
          </cell>
        </row>
        <row r="37">
          <cell r="C37" t="str">
            <v>TX:SCOE:SHIFT_FUEL_HEAT</v>
          </cell>
        </row>
        <row r="38">
          <cell r="C38" t="str">
            <v>TX:SOIL:DEC_LIME_APPLIED</v>
          </cell>
        </row>
        <row r="39">
          <cell r="C39" t="str">
            <v>TX:SOIL:DEC_N_APPLIED</v>
          </cell>
        </row>
        <row r="40">
          <cell r="C40" t="str">
            <v>TX:TRDE:DEC_DEMAND</v>
          </cell>
        </row>
        <row r="41">
          <cell r="C41" t="str">
            <v>TX:TRNS:INC_EFFICIENCY_ELECTRIC</v>
          </cell>
        </row>
        <row r="42">
          <cell r="C42" t="str">
            <v>TX:TRNS:INC_EFFICIENCY_NON_ELECTRIC</v>
          </cell>
        </row>
        <row r="43">
          <cell r="C43" t="str">
            <v>TX:TRNS:INC_OCCUPANCY_LIGHT_DUTY</v>
          </cell>
        </row>
        <row r="44">
          <cell r="C44" t="str">
            <v>TX:TRNS:SHIFT_FUEL_LIGHT_DUTY</v>
          </cell>
        </row>
        <row r="45">
          <cell r="C45" t="str">
            <v>TX:TRNS:SHIFT_FUEL_MARITIME</v>
          </cell>
        </row>
        <row r="46">
          <cell r="C46" t="str">
            <v>TX:TRNS:SHIFT_FUEL_MEDIUM_DUTY</v>
          </cell>
        </row>
        <row r="47">
          <cell r="C47" t="str">
            <v>TX:TRNS:SHIFT_FUEL_RAIL</v>
          </cell>
        </row>
        <row r="48">
          <cell r="C48" t="str">
            <v>TX:TRNS:SHIFT_MODE_FREIGHT</v>
          </cell>
        </row>
        <row r="49">
          <cell r="C49" t="str">
            <v>TX:TRNS:SHIFT_MODE_PASSENGER</v>
          </cell>
        </row>
        <row r="50">
          <cell r="C50" t="str">
            <v>TX:TRNS:SHIFT_MODE_REGIONAL</v>
          </cell>
        </row>
        <row r="51">
          <cell r="C51" t="str">
            <v>TX:TRWW:INC_CAPTURE_BIOGAS</v>
          </cell>
        </row>
        <row r="52">
          <cell r="C52" t="str">
            <v>TX:TRWW:INC_COMPLIANCE_SEPTIC</v>
          </cell>
        </row>
        <row r="53">
          <cell r="C53" t="str">
            <v>TX:WALI:INC_TREATMENT_INDUSTRIAL</v>
          </cell>
        </row>
        <row r="54">
          <cell r="C54" t="str">
            <v>TX:WALI:INC_TREATMENT_RURAL</v>
          </cell>
        </row>
        <row r="55">
          <cell r="C55" t="str">
            <v>TX:WALI:INC_TREATMENT_URBAN</v>
          </cell>
        </row>
        <row r="56">
          <cell r="C56" t="str">
            <v>TX:WASO:DEC_CONSUMER_FOOD_WASTE</v>
          </cell>
        </row>
        <row r="57">
          <cell r="C57" t="str">
            <v>TX:WASO:INC_ANAEROBIC_AND_COMPOST</v>
          </cell>
        </row>
        <row r="58">
          <cell r="C58" t="str">
            <v>TX:WASO:INC_CAPTURE_BIOGAS</v>
          </cell>
        </row>
        <row r="59">
          <cell r="C59" t="str">
            <v>TX:WASO:INC_ENERGY_FROM_BIOGAS</v>
          </cell>
        </row>
        <row r="60">
          <cell r="C60" t="str">
            <v>TX:WASO:INC_ENERGY_FROM_INCINERATION</v>
          </cell>
        </row>
        <row r="61">
          <cell r="C61" t="str">
            <v>TX:WASO:INC_LANDFILLING</v>
          </cell>
        </row>
        <row r="62">
          <cell r="C62" t="str">
            <v>TX:WASO:INC_RECYCLING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E640-1947-AF49-A92B-62F428C6C75A}">
  <dimension ref="A1:T8"/>
  <sheetViews>
    <sheetView workbookViewId="0">
      <selection activeCell="A3" sqref="A3:T8"/>
    </sheetView>
  </sheetViews>
  <sheetFormatPr baseColWidth="10" defaultRowHeight="16" x14ac:dyDescent="0.2"/>
  <cols>
    <col min="1" max="1" width="18" bestFit="1" customWidth="1"/>
  </cols>
  <sheetData>
    <row r="1" spans="1:20" x14ac:dyDescent="0.2">
      <c r="A1" t="s">
        <v>0</v>
      </c>
      <c r="B1" t="s">
        <v>1</v>
      </c>
    </row>
    <row r="2" spans="1:20" x14ac:dyDescent="0.2">
      <c r="A2" s="1" t="s">
        <v>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</row>
    <row r="3" spans="1:20" x14ac:dyDescent="0.2">
      <c r="A3" t="s">
        <v>3</v>
      </c>
      <c r="B3" t="s">
        <v>27</v>
      </c>
      <c r="C3" t="s">
        <v>28</v>
      </c>
      <c r="D3" t="s">
        <v>29</v>
      </c>
      <c r="E3" t="s">
        <v>30</v>
      </c>
      <c r="F3" t="s">
        <v>11</v>
      </c>
      <c r="G3" t="s">
        <v>31</v>
      </c>
      <c r="H3" t="s">
        <v>32</v>
      </c>
      <c r="I3" t="s">
        <v>16</v>
      </c>
      <c r="J3" t="s">
        <v>14</v>
      </c>
      <c r="K3" t="s">
        <v>13</v>
      </c>
      <c r="L3" t="s">
        <v>18</v>
      </c>
      <c r="M3" t="s">
        <v>20</v>
      </c>
      <c r="N3" t="s">
        <v>33</v>
      </c>
      <c r="O3" t="s">
        <v>34</v>
      </c>
      <c r="P3" t="s">
        <v>35</v>
      </c>
      <c r="Q3" t="s">
        <v>24</v>
      </c>
      <c r="R3" t="s">
        <v>22</v>
      </c>
      <c r="S3" t="s">
        <v>26</v>
      </c>
      <c r="T3" t="s">
        <v>36</v>
      </c>
    </row>
    <row r="4" spans="1:20" x14ac:dyDescent="0.2">
      <c r="A4" t="s">
        <v>4</v>
      </c>
      <c r="B4" t="s">
        <v>27</v>
      </c>
      <c r="C4" t="s">
        <v>28</v>
      </c>
      <c r="D4" t="s">
        <v>37</v>
      </c>
      <c r="E4" t="s">
        <v>30</v>
      </c>
      <c r="F4" t="s">
        <v>38</v>
      </c>
      <c r="G4" t="s">
        <v>31</v>
      </c>
      <c r="H4" t="s">
        <v>32</v>
      </c>
      <c r="I4" t="s">
        <v>39</v>
      </c>
      <c r="J4" t="s">
        <v>16</v>
      </c>
      <c r="K4" t="s">
        <v>14</v>
      </c>
      <c r="L4" t="s">
        <v>40</v>
      </c>
      <c r="M4" t="s">
        <v>20</v>
      </c>
      <c r="N4" t="s">
        <v>41</v>
      </c>
      <c r="O4" t="s">
        <v>42</v>
      </c>
      <c r="P4" t="s">
        <v>35</v>
      </c>
      <c r="Q4" t="s">
        <v>24</v>
      </c>
      <c r="R4" t="s">
        <v>25</v>
      </c>
      <c r="S4" t="s">
        <v>26</v>
      </c>
      <c r="T4" t="s">
        <v>36</v>
      </c>
    </row>
    <row r="5" spans="1:20" x14ac:dyDescent="0.2">
      <c r="A5" t="s">
        <v>5</v>
      </c>
      <c r="B5" t="s">
        <v>27</v>
      </c>
      <c r="C5" t="s">
        <v>28</v>
      </c>
      <c r="D5" t="s">
        <v>30</v>
      </c>
      <c r="E5" t="s">
        <v>12</v>
      </c>
      <c r="F5" t="s">
        <v>31</v>
      </c>
      <c r="G5" t="s">
        <v>32</v>
      </c>
      <c r="H5" t="s">
        <v>16</v>
      </c>
      <c r="I5" t="s">
        <v>13</v>
      </c>
      <c r="J5" t="s">
        <v>18</v>
      </c>
      <c r="K5" t="s">
        <v>20</v>
      </c>
      <c r="L5" t="s">
        <v>21</v>
      </c>
      <c r="M5" t="s">
        <v>35</v>
      </c>
      <c r="N5" t="s">
        <v>25</v>
      </c>
      <c r="O5" t="s">
        <v>36</v>
      </c>
    </row>
    <row r="6" spans="1:20" x14ac:dyDescent="0.2">
      <c r="A6" t="s">
        <v>6</v>
      </c>
      <c r="B6" t="s">
        <v>43</v>
      </c>
      <c r="C6" t="s">
        <v>29</v>
      </c>
      <c r="D6" t="s">
        <v>32</v>
      </c>
      <c r="E6" t="s">
        <v>14</v>
      </c>
      <c r="F6" t="s">
        <v>16</v>
      </c>
      <c r="G6" t="s">
        <v>11</v>
      </c>
      <c r="H6" t="s">
        <v>31</v>
      </c>
      <c r="I6" t="s">
        <v>18</v>
      </c>
      <c r="J6" t="s">
        <v>20</v>
      </c>
      <c r="K6" t="s">
        <v>35</v>
      </c>
      <c r="L6" t="s">
        <v>24</v>
      </c>
      <c r="M6" t="s">
        <v>26</v>
      </c>
      <c r="N6" t="s">
        <v>36</v>
      </c>
    </row>
    <row r="7" spans="1:20" x14ac:dyDescent="0.2">
      <c r="A7" t="s">
        <v>7</v>
      </c>
      <c r="B7" t="s">
        <v>43</v>
      </c>
      <c r="C7" t="s">
        <v>38</v>
      </c>
      <c r="D7" t="s">
        <v>37</v>
      </c>
      <c r="E7" t="s">
        <v>31</v>
      </c>
      <c r="F7" t="s">
        <v>12</v>
      </c>
      <c r="G7" t="s">
        <v>32</v>
      </c>
      <c r="H7" t="s">
        <v>39</v>
      </c>
      <c r="I7" t="s">
        <v>16</v>
      </c>
      <c r="J7" t="s">
        <v>40</v>
      </c>
      <c r="K7" t="s">
        <v>20</v>
      </c>
      <c r="L7" t="s">
        <v>41</v>
      </c>
      <c r="M7" t="s">
        <v>42</v>
      </c>
      <c r="N7" t="s">
        <v>25</v>
      </c>
      <c r="O7" t="s">
        <v>36</v>
      </c>
    </row>
    <row r="8" spans="1:20" x14ac:dyDescent="0.2">
      <c r="A8" t="s">
        <v>8</v>
      </c>
      <c r="B8" t="s">
        <v>43</v>
      </c>
      <c r="C8" t="s">
        <v>31</v>
      </c>
      <c r="D8" t="s">
        <v>14</v>
      </c>
      <c r="E8" t="s">
        <v>16</v>
      </c>
      <c r="F8" t="s">
        <v>18</v>
      </c>
      <c r="G8" t="s">
        <v>20</v>
      </c>
      <c r="H8" t="s">
        <v>35</v>
      </c>
      <c r="I8" t="s">
        <v>25</v>
      </c>
      <c r="J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7FB4-C84A-B047-8964-745C1819DB3F}">
  <dimension ref="C2:J21"/>
  <sheetViews>
    <sheetView tabSelected="1" workbookViewId="0">
      <selection activeCell="C3" sqref="C3:C21"/>
    </sheetView>
  </sheetViews>
  <sheetFormatPr baseColWidth="10" defaultRowHeight="16" x14ac:dyDescent="0.2"/>
  <cols>
    <col min="4" max="4" width="37.1640625" bestFit="1" customWidth="1"/>
    <col min="5" max="5" width="36.1640625" customWidth="1"/>
    <col min="6" max="6" width="37.1640625" bestFit="1" customWidth="1"/>
    <col min="7" max="7" width="34.6640625" bestFit="1" customWidth="1"/>
    <col min="8" max="8" width="37.1640625" bestFit="1" customWidth="1"/>
    <col min="9" max="9" width="31.33203125" bestFit="1" customWidth="1"/>
    <col min="10" max="10" width="29.6640625" bestFit="1" customWidth="1"/>
  </cols>
  <sheetData>
    <row r="2" spans="3:10" ht="17" x14ac:dyDescent="0.2">
      <c r="D2" s="4" t="s">
        <v>70</v>
      </c>
      <c r="E2" s="4" t="s">
        <v>71</v>
      </c>
      <c r="F2" s="4" t="s">
        <v>72</v>
      </c>
      <c r="G2" s="4" t="s">
        <v>73</v>
      </c>
      <c r="H2" s="4" t="s">
        <v>76</v>
      </c>
      <c r="I2" s="3" t="s">
        <v>74</v>
      </c>
      <c r="J2" s="3" t="s">
        <v>75</v>
      </c>
    </row>
    <row r="3" spans="3:10" x14ac:dyDescent="0.2">
      <c r="C3" t="str">
        <f>+VLOOKUP(G3,[1]main!$C$2:$C$62,1,FALSE)</f>
        <v>TX:FGTV:DEC_LEAKS</v>
      </c>
      <c r="D3" t="s">
        <v>44</v>
      </c>
      <c r="E3" t="s">
        <v>61</v>
      </c>
      <c r="F3" t="s">
        <v>61</v>
      </c>
      <c r="G3" t="s">
        <v>61</v>
      </c>
      <c r="H3" t="s">
        <v>63</v>
      </c>
      <c r="I3" t="s">
        <v>63</v>
      </c>
      <c r="J3" t="s">
        <v>63</v>
      </c>
    </row>
    <row r="4" spans="3:10" x14ac:dyDescent="0.2">
      <c r="C4" t="str">
        <f>+VLOOKUP(G4,[1]main!$C$2:$C$62,1,FALSE)</f>
        <v>TX:FGTV:INC_FLARE</v>
      </c>
      <c r="D4" t="s">
        <v>61</v>
      </c>
      <c r="E4" t="s">
        <v>62</v>
      </c>
      <c r="F4" t="s">
        <v>62</v>
      </c>
      <c r="G4" t="s">
        <v>62</v>
      </c>
      <c r="H4" t="s">
        <v>44</v>
      </c>
      <c r="I4" t="s">
        <v>78</v>
      </c>
      <c r="J4" t="s">
        <v>64</v>
      </c>
    </row>
    <row r="5" spans="3:10" x14ac:dyDescent="0.2">
      <c r="C5" t="str">
        <f>+VLOOKUP(G5,[1]main!$C$2:$C$62,1,FALSE)</f>
        <v>TX:ENTC:TARGET_RENEWABLE_ELEC</v>
      </c>
      <c r="D5" t="s">
        <v>60</v>
      </c>
      <c r="E5" t="s">
        <v>44</v>
      </c>
      <c r="F5" t="s">
        <v>77</v>
      </c>
      <c r="G5" t="s">
        <v>63</v>
      </c>
      <c r="H5" t="s">
        <v>65</v>
      </c>
      <c r="I5" t="s">
        <v>77</v>
      </c>
      <c r="J5" t="s">
        <v>46</v>
      </c>
    </row>
    <row r="6" spans="3:10" x14ac:dyDescent="0.2">
      <c r="C6" t="e">
        <f>+VLOOKUP(G6,[1]main!$C$2:$C$62,1,FALSE)</f>
        <v>#N/A</v>
      </c>
      <c r="D6" s="2" t="s">
        <v>59</v>
      </c>
      <c r="E6" t="s">
        <v>63</v>
      </c>
      <c r="F6" t="s">
        <v>63</v>
      </c>
      <c r="G6" s="2" t="s">
        <v>59</v>
      </c>
      <c r="H6" t="s">
        <v>46</v>
      </c>
      <c r="I6" t="s">
        <v>64</v>
      </c>
      <c r="J6" t="s">
        <v>48</v>
      </c>
    </row>
    <row r="7" spans="3:10" x14ac:dyDescent="0.2">
      <c r="C7" t="str">
        <f>+VLOOKUP(G7,[1]main!$C$2:$C$62,1,FALSE)</f>
        <v>TX:SCOE:SHIFT_FUEL_HEAT</v>
      </c>
      <c r="D7" t="s">
        <v>45</v>
      </c>
      <c r="E7" t="s">
        <v>60</v>
      </c>
      <c r="F7" t="s">
        <v>78</v>
      </c>
      <c r="G7" t="s">
        <v>64</v>
      </c>
      <c r="H7" t="s">
        <v>48</v>
      </c>
      <c r="I7" s="5" t="s">
        <v>59</v>
      </c>
      <c r="J7" t="s">
        <v>50</v>
      </c>
    </row>
    <row r="8" spans="3:10" x14ac:dyDescent="0.2">
      <c r="C8" t="str">
        <f>+VLOOKUP(G8,[1]main!$C$2:$C$62,1,FALSE)</f>
        <v>TX:TRNS:SHIFT_FUEL_LIGHT_DUTY</v>
      </c>
      <c r="D8" t="s">
        <v>46</v>
      </c>
      <c r="E8" t="s">
        <v>64</v>
      </c>
      <c r="F8" t="s">
        <v>64</v>
      </c>
      <c r="G8" t="s">
        <v>65</v>
      </c>
      <c r="H8" t="s">
        <v>60</v>
      </c>
      <c r="I8" t="s">
        <v>65</v>
      </c>
      <c r="J8" t="s">
        <v>52</v>
      </c>
    </row>
    <row r="9" spans="3:10" x14ac:dyDescent="0.2">
      <c r="C9" t="str">
        <f>+VLOOKUP(G9,[1]main!$C$2:$C$62,1,FALSE)</f>
        <v>TX:TRNS:SHIFT_MODE_PASSENGER</v>
      </c>
      <c r="D9" t="s">
        <v>47</v>
      </c>
      <c r="E9" t="s">
        <v>65</v>
      </c>
      <c r="F9" t="s">
        <v>65</v>
      </c>
      <c r="G9" t="s">
        <v>48</v>
      </c>
      <c r="H9" t="s">
        <v>64</v>
      </c>
      <c r="I9" t="s">
        <v>79</v>
      </c>
      <c r="J9" t="s">
        <v>68</v>
      </c>
    </row>
    <row r="10" spans="3:10" x14ac:dyDescent="0.2">
      <c r="C10" t="str">
        <f>+VLOOKUP(G10,[1]main!$C$2:$C$62,1,FALSE)</f>
        <v>TX:TRNS:INC_EFFICIENCY_NON_ELECTRIC</v>
      </c>
      <c r="D10" t="s">
        <v>48</v>
      </c>
      <c r="E10" t="s">
        <v>48</v>
      </c>
      <c r="F10" t="s">
        <v>79</v>
      </c>
      <c r="G10" t="s">
        <v>45</v>
      </c>
      <c r="H10" t="s">
        <v>50</v>
      </c>
      <c r="I10" t="s">
        <v>48</v>
      </c>
      <c r="J10" t="s">
        <v>57</v>
      </c>
    </row>
    <row r="11" spans="3:10" x14ac:dyDescent="0.2">
      <c r="C11" t="str">
        <f>+VLOOKUP(G11,[1]main!$C$2:$C$62,1,FALSE)</f>
        <v>TX:INEN:INC_EFFICIENCY_ENERGY</v>
      </c>
      <c r="D11" t="s">
        <v>49</v>
      </c>
      <c r="E11" t="s">
        <v>46</v>
      </c>
      <c r="F11" t="s">
        <v>48</v>
      </c>
      <c r="G11" t="s">
        <v>50</v>
      </c>
      <c r="H11" t="s">
        <v>52</v>
      </c>
      <c r="I11" t="s">
        <v>80</v>
      </c>
      <c r="J11" t="s">
        <v>69</v>
      </c>
    </row>
    <row r="12" spans="3:10" x14ac:dyDescent="0.2">
      <c r="C12" t="str">
        <f>+VLOOKUP(G12,[1]main!$C$2:$C$62,1,FALSE)</f>
        <v>TX:IPPU:DEC_HFCS</v>
      </c>
      <c r="D12" t="s">
        <v>50</v>
      </c>
      <c r="E12" t="s">
        <v>45</v>
      </c>
      <c r="F12" t="s">
        <v>46</v>
      </c>
      <c r="G12" t="s">
        <v>52</v>
      </c>
      <c r="H12" t="s">
        <v>68</v>
      </c>
      <c r="I12" t="s">
        <v>52</v>
      </c>
    </row>
    <row r="13" spans="3:10" x14ac:dyDescent="0.2">
      <c r="C13" t="str">
        <f>+VLOOKUP(G13,[1]main!$C$2:$C$62,1,FALSE)</f>
        <v>TX:IPPU:DEC_PFCS</v>
      </c>
      <c r="D13" t="s">
        <v>51</v>
      </c>
      <c r="E13" t="s">
        <v>50</v>
      </c>
      <c r="F13" t="s">
        <v>80</v>
      </c>
      <c r="G13" t="s">
        <v>53</v>
      </c>
      <c r="H13" t="s">
        <v>56</v>
      </c>
      <c r="I13" t="s">
        <v>81</v>
      </c>
    </row>
    <row r="14" spans="3:10" x14ac:dyDescent="0.2">
      <c r="C14" t="str">
        <f>+VLOOKUP(G14,[1]main!$C$2:$C$62,1,FALSE)</f>
        <v>TX:WASO:INC_RECYCLING</v>
      </c>
      <c r="D14" t="s">
        <v>52</v>
      </c>
      <c r="E14" t="s">
        <v>52</v>
      </c>
      <c r="F14" t="s">
        <v>52</v>
      </c>
      <c r="G14" t="s">
        <v>68</v>
      </c>
      <c r="H14" t="s">
        <v>58</v>
      </c>
      <c r="I14" t="s">
        <v>82</v>
      </c>
    </row>
    <row r="15" spans="3:10" x14ac:dyDescent="0.2">
      <c r="C15" t="str">
        <f>+VLOOKUP(G15,[1]main!$C$2:$C$62,1,FALSE)</f>
        <v>TX:AGRC:INC_PRODUCTIVITY</v>
      </c>
      <c r="D15" t="s">
        <v>53</v>
      </c>
      <c r="E15" t="s">
        <v>66</v>
      </c>
      <c r="F15" t="s">
        <v>81</v>
      </c>
      <c r="G15" t="s">
        <v>57</v>
      </c>
      <c r="H15" t="s">
        <v>69</v>
      </c>
      <c r="I15" t="s">
        <v>57</v>
      </c>
    </row>
    <row r="16" spans="3:10" x14ac:dyDescent="0.2">
      <c r="C16" t="str">
        <f>+VLOOKUP(G16,[1]main!$C$2:$C$62,1,FALSE)</f>
        <v>TX:LNDU:INC_REFORESTATION</v>
      </c>
      <c r="D16" t="s">
        <v>54</v>
      </c>
      <c r="E16" t="s">
        <v>67</v>
      </c>
      <c r="F16" t="s">
        <v>82</v>
      </c>
      <c r="G16" t="s">
        <v>69</v>
      </c>
      <c r="I16" t="s">
        <v>69</v>
      </c>
    </row>
    <row r="17" spans="3:6" x14ac:dyDescent="0.2">
      <c r="C17" t="e">
        <f>+VLOOKUP(G17,[1]main!$C$2:$C$62,1,FALSE)</f>
        <v>#N/A</v>
      </c>
      <c r="D17" t="s">
        <v>55</v>
      </c>
      <c r="E17" t="s">
        <v>68</v>
      </c>
      <c r="F17" t="s">
        <v>68</v>
      </c>
    </row>
    <row r="18" spans="3:6" x14ac:dyDescent="0.2">
      <c r="C18" t="e">
        <f>+VLOOKUP(G18,[1]main!$C$2:$C$62,1,FALSE)</f>
        <v>#N/A</v>
      </c>
      <c r="D18" t="s">
        <v>56</v>
      </c>
      <c r="E18" t="s">
        <v>56</v>
      </c>
      <c r="F18" t="s">
        <v>56</v>
      </c>
    </row>
    <row r="19" spans="3:6" x14ac:dyDescent="0.2">
      <c r="C19" t="e">
        <f>+VLOOKUP(G19,[1]main!$C$2:$C$62,1,FALSE)</f>
        <v>#N/A</v>
      </c>
      <c r="D19" t="s">
        <v>57</v>
      </c>
      <c r="E19" t="s">
        <v>54</v>
      </c>
      <c r="F19" t="s">
        <v>57</v>
      </c>
    </row>
    <row r="20" spans="3:6" x14ac:dyDescent="0.2">
      <c r="C20" t="e">
        <f>+VLOOKUP(G20,[1]main!$C$2:$C$62,1,FALSE)</f>
        <v>#N/A</v>
      </c>
      <c r="D20" t="s">
        <v>58</v>
      </c>
      <c r="E20" t="s">
        <v>58</v>
      </c>
      <c r="F20" t="s">
        <v>58</v>
      </c>
    </row>
    <row r="21" spans="3:6" x14ac:dyDescent="0.2">
      <c r="C21" t="e">
        <f>+VLOOKUP(G21,[1]main!$C$2:$C$62,1,FALSE)</f>
        <v>#N/A</v>
      </c>
      <c r="E21" t="s">
        <v>69</v>
      </c>
      <c r="F21" t="s">
        <v>69</v>
      </c>
    </row>
  </sheetData>
  <conditionalFormatting sqref="D2:J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estrategias_transformaciones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Fabian Fuentes Rivas</dc:creator>
  <cp:lastModifiedBy>Carlos Fabian Fuentes Rivas</cp:lastModifiedBy>
  <dcterms:created xsi:type="dcterms:W3CDTF">2025-12-09T16:43:30Z</dcterms:created>
  <dcterms:modified xsi:type="dcterms:W3CDTF">2025-12-09T23:03:25Z</dcterms:modified>
</cp:coreProperties>
</file>